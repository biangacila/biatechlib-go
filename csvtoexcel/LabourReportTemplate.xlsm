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ter Davids\Dropbox\PMIS\EPWP Labour Report\"/>
    </mc:Choice>
  </mc:AlternateContent>
  <xr:revisionPtr revIDLastSave="0" documentId="13_ncr:1_{B1B0885A-602A-4612-ADE9-6CFCE79D7359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Project" sheetId="1" r:id="rId1"/>
    <sheet name="Beneficiaries" sheetId="47" r:id="rId2"/>
    <sheet name="Beneficiaries (2)" sheetId="49" r:id="rId3"/>
    <sheet name="Beneficiaries (3)" sheetId="50" r:id="rId4"/>
    <sheet name="Beneficiaries (4)" sheetId="51" r:id="rId5"/>
    <sheet name="Beneficiaries (5)" sheetId="52" r:id="rId6"/>
    <sheet name="Beneficiaries (6)" sheetId="53" r:id="rId7"/>
    <sheet name="Beneficiaries (7)" sheetId="54" r:id="rId8"/>
    <sheet name="Beneficiaries (8)" sheetId="55" r:id="rId9"/>
    <sheet name="Beneficiaries (9)" sheetId="56" r:id="rId10"/>
    <sheet name="Beneficiaries (10)" sheetId="57" r:id="rId11"/>
    <sheet name="Beneficiaries (11)" sheetId="58" r:id="rId12"/>
    <sheet name="Beneficiaries (12)" sheetId="59" r:id="rId13"/>
    <sheet name="Beneficiaries (13)" sheetId="60" r:id="rId14"/>
    <sheet name="Beneficiaries (14)" sheetId="61" r:id="rId15"/>
    <sheet name="Beneficiaries (15)" sheetId="62" r:id="rId16"/>
    <sheet name="Logs" sheetId="34" r:id="rId17"/>
  </sheets>
  <functionGroups builtInGroupCount="19"/>
  <definedNames>
    <definedName name="_xlnm.Print_Area" localSheetId="1">Beneficiaries!$A$1:$P$35</definedName>
    <definedName name="_xlnm.Print_Area" localSheetId="10">'Beneficiaries (10)'!$A$1:$P$35</definedName>
    <definedName name="_xlnm.Print_Area" localSheetId="11">'Beneficiaries (11)'!$A$1:$P$35</definedName>
    <definedName name="_xlnm.Print_Area" localSheetId="12">'Beneficiaries (12)'!$A$1:$P$35</definedName>
    <definedName name="_xlnm.Print_Area" localSheetId="13">'Beneficiaries (13)'!$A$1:$P$35</definedName>
    <definedName name="_xlnm.Print_Area" localSheetId="14">'Beneficiaries (14)'!$A$1:$P$35</definedName>
    <definedName name="_xlnm.Print_Area" localSheetId="15">'Beneficiaries (15)'!$A$1:$P$35</definedName>
    <definedName name="_xlnm.Print_Area" localSheetId="2">'Beneficiaries (2)'!$A$1:$P$35</definedName>
    <definedName name="_xlnm.Print_Area" localSheetId="3">'Beneficiaries (3)'!$A$1:$P$35</definedName>
    <definedName name="_xlnm.Print_Area" localSheetId="4">'Beneficiaries (4)'!$A$1:$P$35</definedName>
    <definedName name="_xlnm.Print_Area" localSheetId="5">'Beneficiaries (5)'!$A$1:$P$35</definedName>
    <definedName name="_xlnm.Print_Area" localSheetId="6">'Beneficiaries (6)'!$A$1:$P$35</definedName>
    <definedName name="_xlnm.Print_Area" localSheetId="7">'Beneficiaries (7)'!$A$1:$P$35</definedName>
    <definedName name="_xlnm.Print_Area" localSheetId="8">'Beneficiaries (8)'!$A$1:$P$35</definedName>
    <definedName name="_xlnm.Print_Area" localSheetId="9">'Beneficiaries (9)'!$A$1:$P$35</definedName>
    <definedName name="_xlnm.Print_Area" localSheetId="0">Project!$A$1:$AL$39</definedName>
    <definedName name="_xlnm.Print_Titles" localSheetId="1">Beneficiaries!$1:$9</definedName>
    <definedName name="_xlnm.Print_Titles" localSheetId="10">'Beneficiaries (10)'!$1:$9</definedName>
    <definedName name="_xlnm.Print_Titles" localSheetId="11">'Beneficiaries (11)'!$1:$9</definedName>
    <definedName name="_xlnm.Print_Titles" localSheetId="12">'Beneficiaries (12)'!$1:$9</definedName>
    <definedName name="_xlnm.Print_Titles" localSheetId="13">'Beneficiaries (13)'!$1:$9</definedName>
    <definedName name="_xlnm.Print_Titles" localSheetId="14">'Beneficiaries (14)'!$1:$9</definedName>
    <definedName name="_xlnm.Print_Titles" localSheetId="15">'Beneficiaries (15)'!$1:$9</definedName>
    <definedName name="_xlnm.Print_Titles" localSheetId="2">'Beneficiaries (2)'!$1:$9</definedName>
    <definedName name="_xlnm.Print_Titles" localSheetId="3">'Beneficiaries (3)'!$1:$9</definedName>
    <definedName name="_xlnm.Print_Titles" localSheetId="4">'Beneficiaries (4)'!$1:$9</definedName>
    <definedName name="_xlnm.Print_Titles" localSheetId="5">'Beneficiaries (5)'!$1:$9</definedName>
    <definedName name="_xlnm.Print_Titles" localSheetId="6">'Beneficiaries (6)'!$1:$9</definedName>
    <definedName name="_xlnm.Print_Titles" localSheetId="7">'Beneficiaries (7)'!$1:$9</definedName>
    <definedName name="_xlnm.Print_Titles" localSheetId="8">'Beneficiaries (8)'!$1:$9</definedName>
    <definedName name="_xlnm.Print_Titles" localSheetId="9">'Beneficiaries (9)'!$1:$9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4" i="62" l="1"/>
  <c r="E32" i="62"/>
  <c r="E31" i="62"/>
  <c r="M30" i="62"/>
  <c r="O29" i="62"/>
  <c r="L29" i="62"/>
  <c r="N29" i="62" s="1"/>
  <c r="P29" i="62" s="1"/>
  <c r="K29" i="62"/>
  <c r="J29" i="62"/>
  <c r="E29" i="62"/>
  <c r="D29" i="62"/>
  <c r="C29" i="62"/>
  <c r="O28" i="62"/>
  <c r="L28" i="62"/>
  <c r="N28" i="62" s="1"/>
  <c r="P28" i="62" s="1"/>
  <c r="K28" i="62"/>
  <c r="J28" i="62"/>
  <c r="E28" i="62"/>
  <c r="D28" i="62"/>
  <c r="C28" i="62"/>
  <c r="O27" i="62"/>
  <c r="L27" i="62"/>
  <c r="N27" i="62" s="1"/>
  <c r="P27" i="62" s="1"/>
  <c r="K27" i="62"/>
  <c r="J27" i="62"/>
  <c r="E27" i="62"/>
  <c r="D27" i="62"/>
  <c r="C27" i="62"/>
  <c r="O26" i="62"/>
  <c r="L26" i="62"/>
  <c r="N26" i="62" s="1"/>
  <c r="K26" i="62"/>
  <c r="J26" i="62"/>
  <c r="E26" i="62"/>
  <c r="D26" i="62"/>
  <c r="C26" i="62"/>
  <c r="O25" i="62"/>
  <c r="L25" i="62"/>
  <c r="N25" i="62" s="1"/>
  <c r="K25" i="62"/>
  <c r="J25" i="62"/>
  <c r="E25" i="62"/>
  <c r="D25" i="62"/>
  <c r="C25" i="62"/>
  <c r="O24" i="62"/>
  <c r="P24" i="62" s="1"/>
  <c r="N24" i="62"/>
  <c r="L24" i="62"/>
  <c r="K24" i="62"/>
  <c r="J24" i="62"/>
  <c r="E24" i="62"/>
  <c r="D24" i="62"/>
  <c r="C24" i="62"/>
  <c r="O23" i="62"/>
  <c r="L23" i="62"/>
  <c r="N23" i="62" s="1"/>
  <c r="K23" i="62"/>
  <c r="J23" i="62"/>
  <c r="E23" i="62"/>
  <c r="D23" i="62"/>
  <c r="C23" i="62"/>
  <c r="O22" i="62"/>
  <c r="L22" i="62"/>
  <c r="N22" i="62" s="1"/>
  <c r="P22" i="62" s="1"/>
  <c r="K22" i="62"/>
  <c r="J22" i="62"/>
  <c r="E22" i="62"/>
  <c r="D22" i="62"/>
  <c r="C22" i="62"/>
  <c r="O21" i="62"/>
  <c r="L21" i="62"/>
  <c r="N21" i="62" s="1"/>
  <c r="K21" i="62"/>
  <c r="J21" i="62"/>
  <c r="E21" i="62"/>
  <c r="D21" i="62"/>
  <c r="C21" i="62"/>
  <c r="O20" i="62"/>
  <c r="L20" i="62"/>
  <c r="N20" i="62" s="1"/>
  <c r="P20" i="62" s="1"/>
  <c r="K20" i="62"/>
  <c r="J20" i="62"/>
  <c r="E20" i="62"/>
  <c r="D20" i="62"/>
  <c r="C20" i="62"/>
  <c r="O19" i="62"/>
  <c r="L19" i="62"/>
  <c r="N19" i="62" s="1"/>
  <c r="P19" i="62" s="1"/>
  <c r="K19" i="62"/>
  <c r="J19" i="62"/>
  <c r="E19" i="62"/>
  <c r="D19" i="62"/>
  <c r="C19" i="62"/>
  <c r="O18" i="62"/>
  <c r="L18" i="62"/>
  <c r="N18" i="62" s="1"/>
  <c r="K18" i="62"/>
  <c r="J18" i="62"/>
  <c r="E18" i="62"/>
  <c r="D18" i="62"/>
  <c r="C18" i="62"/>
  <c r="O17" i="62"/>
  <c r="L17" i="62"/>
  <c r="N17" i="62" s="1"/>
  <c r="P17" i="62" s="1"/>
  <c r="K17" i="62"/>
  <c r="J17" i="62"/>
  <c r="E17" i="62"/>
  <c r="D17" i="62"/>
  <c r="C17" i="62"/>
  <c r="O16" i="62"/>
  <c r="L16" i="62"/>
  <c r="N16" i="62" s="1"/>
  <c r="K16" i="62"/>
  <c r="J16" i="62"/>
  <c r="E16" i="62"/>
  <c r="D16" i="62"/>
  <c r="C16" i="62"/>
  <c r="O15" i="62"/>
  <c r="L15" i="62"/>
  <c r="N15" i="62" s="1"/>
  <c r="P15" i="62" s="1"/>
  <c r="K15" i="62"/>
  <c r="J15" i="62"/>
  <c r="E15" i="62"/>
  <c r="D15" i="62"/>
  <c r="C15" i="62"/>
  <c r="O14" i="62"/>
  <c r="L14" i="62"/>
  <c r="N14" i="62" s="1"/>
  <c r="P14" i="62" s="1"/>
  <c r="K14" i="62"/>
  <c r="J14" i="62"/>
  <c r="E14" i="62"/>
  <c r="D14" i="62"/>
  <c r="C14" i="62"/>
  <c r="R13" i="62"/>
  <c r="O13" i="62"/>
  <c r="L13" i="62"/>
  <c r="N13" i="62" s="1"/>
  <c r="P13" i="62" s="1"/>
  <c r="K13" i="62"/>
  <c r="J13" i="62"/>
  <c r="E13" i="62"/>
  <c r="D13" i="62"/>
  <c r="C13" i="62"/>
  <c r="R12" i="62"/>
  <c r="O12" i="62"/>
  <c r="N12" i="62"/>
  <c r="P12" i="62" s="1"/>
  <c r="L12" i="62"/>
  <c r="K12" i="62"/>
  <c r="J12" i="62"/>
  <c r="E12" i="62"/>
  <c r="D12" i="62"/>
  <c r="C12" i="62"/>
  <c r="R11" i="62"/>
  <c r="O11" i="62"/>
  <c r="L11" i="62"/>
  <c r="N11" i="62" s="1"/>
  <c r="P11" i="62" s="1"/>
  <c r="K11" i="62"/>
  <c r="J11" i="62"/>
  <c r="E11" i="62"/>
  <c r="D11" i="62"/>
  <c r="C11" i="62"/>
  <c r="R10" i="62"/>
  <c r="O10" i="62"/>
  <c r="L10" i="62"/>
  <c r="N10" i="62" s="1"/>
  <c r="K10" i="62"/>
  <c r="J10" i="62"/>
  <c r="E10" i="62"/>
  <c r="D10" i="62"/>
  <c r="C10" i="62"/>
  <c r="R9" i="62"/>
  <c r="R8" i="62"/>
  <c r="R7" i="62"/>
  <c r="R6" i="62"/>
  <c r="I6" i="62"/>
  <c r="H6" i="62"/>
  <c r="R5" i="62"/>
  <c r="D5" i="62"/>
  <c r="R4" i="62"/>
  <c r="R3" i="62"/>
  <c r="R2" i="62"/>
  <c r="R1" i="62"/>
  <c r="R14" i="47"/>
  <c r="R14" i="49"/>
  <c r="R14" i="50"/>
  <c r="R14" i="51"/>
  <c r="R14" i="52"/>
  <c r="R14" i="53"/>
  <c r="R14" i="54"/>
  <c r="R14" i="55"/>
  <c r="R14" i="56"/>
  <c r="R14" i="57"/>
  <c r="R14" i="58"/>
  <c r="R14" i="59"/>
  <c r="R14" i="60"/>
  <c r="R13" i="61"/>
  <c r="R14" i="61"/>
  <c r="E32" i="61"/>
  <c r="E31" i="61"/>
  <c r="M30" i="61"/>
  <c r="O29" i="61"/>
  <c r="L29" i="61"/>
  <c r="N29" i="61" s="1"/>
  <c r="P29" i="61" s="1"/>
  <c r="K29" i="61"/>
  <c r="J29" i="61"/>
  <c r="E29" i="61"/>
  <c r="D29" i="61"/>
  <c r="C29" i="61"/>
  <c r="O28" i="61"/>
  <c r="L28" i="61"/>
  <c r="N28" i="61" s="1"/>
  <c r="K28" i="61"/>
  <c r="J28" i="61"/>
  <c r="E28" i="61"/>
  <c r="D28" i="61"/>
  <c r="C28" i="61"/>
  <c r="O27" i="61"/>
  <c r="L27" i="61"/>
  <c r="N27" i="61" s="1"/>
  <c r="P27" i="61" s="1"/>
  <c r="K27" i="61"/>
  <c r="J27" i="61"/>
  <c r="E27" i="61"/>
  <c r="D27" i="61"/>
  <c r="C27" i="61"/>
  <c r="O26" i="61"/>
  <c r="L26" i="61"/>
  <c r="N26" i="61" s="1"/>
  <c r="K26" i="61"/>
  <c r="J26" i="61"/>
  <c r="E26" i="61"/>
  <c r="D26" i="61"/>
  <c r="C26" i="61"/>
  <c r="O25" i="61"/>
  <c r="L25" i="61"/>
  <c r="N25" i="61" s="1"/>
  <c r="P25" i="61" s="1"/>
  <c r="K25" i="61"/>
  <c r="J25" i="61"/>
  <c r="E25" i="61"/>
  <c r="D25" i="61"/>
  <c r="C25" i="61"/>
  <c r="O24" i="61"/>
  <c r="L24" i="61"/>
  <c r="N24" i="61" s="1"/>
  <c r="K24" i="61"/>
  <c r="J24" i="61"/>
  <c r="E24" i="61"/>
  <c r="D24" i="61"/>
  <c r="C24" i="61"/>
  <c r="O23" i="61"/>
  <c r="L23" i="61"/>
  <c r="N23" i="61" s="1"/>
  <c r="P23" i="61" s="1"/>
  <c r="K23" i="61"/>
  <c r="J23" i="61"/>
  <c r="E23" i="61"/>
  <c r="D23" i="61"/>
  <c r="C23" i="61"/>
  <c r="O22" i="61"/>
  <c r="L22" i="61"/>
  <c r="N22" i="61" s="1"/>
  <c r="K22" i="61"/>
  <c r="J22" i="61"/>
  <c r="E22" i="61"/>
  <c r="D22" i="61"/>
  <c r="C22" i="61"/>
  <c r="O21" i="61"/>
  <c r="L21" i="61"/>
  <c r="N21" i="61" s="1"/>
  <c r="P21" i="61" s="1"/>
  <c r="K21" i="61"/>
  <c r="J21" i="61"/>
  <c r="E21" i="61"/>
  <c r="D21" i="61"/>
  <c r="C21" i="61"/>
  <c r="O20" i="61"/>
  <c r="L20" i="61"/>
  <c r="N20" i="61" s="1"/>
  <c r="K20" i="61"/>
  <c r="J20" i="61"/>
  <c r="E20" i="61"/>
  <c r="D20" i="61"/>
  <c r="C20" i="61"/>
  <c r="O19" i="61"/>
  <c r="L19" i="61"/>
  <c r="N19" i="61" s="1"/>
  <c r="P19" i="61" s="1"/>
  <c r="K19" i="61"/>
  <c r="J19" i="61"/>
  <c r="E19" i="61"/>
  <c r="D19" i="61"/>
  <c r="C19" i="61"/>
  <c r="O18" i="61"/>
  <c r="L18" i="61"/>
  <c r="N18" i="61" s="1"/>
  <c r="K18" i="61"/>
  <c r="J18" i="61"/>
  <c r="E18" i="61"/>
  <c r="D18" i="61"/>
  <c r="C18" i="61"/>
  <c r="O17" i="61"/>
  <c r="L17" i="61"/>
  <c r="N17" i="61" s="1"/>
  <c r="P17" i="61" s="1"/>
  <c r="K17" i="61"/>
  <c r="J17" i="61"/>
  <c r="E17" i="61"/>
  <c r="D17" i="61"/>
  <c r="C17" i="61"/>
  <c r="O16" i="61"/>
  <c r="L16" i="61"/>
  <c r="N16" i="61" s="1"/>
  <c r="K16" i="61"/>
  <c r="J16" i="61"/>
  <c r="E16" i="61"/>
  <c r="D16" i="61"/>
  <c r="C16" i="61"/>
  <c r="O15" i="61"/>
  <c r="N15" i="61"/>
  <c r="L15" i="61"/>
  <c r="K15" i="61"/>
  <c r="J15" i="61"/>
  <c r="E15" i="61"/>
  <c r="D15" i="61"/>
  <c r="C15" i="61"/>
  <c r="O14" i="61"/>
  <c r="L14" i="61"/>
  <c r="N14" i="61" s="1"/>
  <c r="K14" i="61"/>
  <c r="J14" i="61"/>
  <c r="E14" i="61"/>
  <c r="D14" i="61"/>
  <c r="C14" i="61"/>
  <c r="O13" i="61"/>
  <c r="L13" i="61"/>
  <c r="N13" i="61" s="1"/>
  <c r="P13" i="61" s="1"/>
  <c r="K13" i="61"/>
  <c r="J13" i="61"/>
  <c r="E13" i="61"/>
  <c r="D13" i="61"/>
  <c r="C13" i="61"/>
  <c r="R12" i="61"/>
  <c r="O12" i="61"/>
  <c r="L12" i="61"/>
  <c r="N12" i="61" s="1"/>
  <c r="P12" i="61" s="1"/>
  <c r="K12" i="61"/>
  <c r="J12" i="61"/>
  <c r="E12" i="61"/>
  <c r="D12" i="61"/>
  <c r="C12" i="61"/>
  <c r="R11" i="61"/>
  <c r="O11" i="61"/>
  <c r="L11" i="61"/>
  <c r="N11" i="61" s="1"/>
  <c r="P11" i="61" s="1"/>
  <c r="K11" i="61"/>
  <c r="J11" i="61"/>
  <c r="E11" i="61"/>
  <c r="D11" i="61"/>
  <c r="C11" i="61"/>
  <c r="R10" i="61"/>
  <c r="O10" i="61"/>
  <c r="L10" i="61"/>
  <c r="K10" i="61"/>
  <c r="J10" i="61"/>
  <c r="E10" i="61"/>
  <c r="D10" i="61"/>
  <c r="C10" i="61"/>
  <c r="R9" i="61"/>
  <c r="R8" i="61"/>
  <c r="R7" i="61"/>
  <c r="R6" i="61"/>
  <c r="I6" i="61"/>
  <c r="H6" i="61"/>
  <c r="R5" i="61"/>
  <c r="D5" i="61"/>
  <c r="R4" i="61"/>
  <c r="R3" i="61"/>
  <c r="R2" i="61"/>
  <c r="R1" i="61"/>
  <c r="R13" i="47"/>
  <c r="R13" i="49"/>
  <c r="R13" i="50"/>
  <c r="R13" i="51"/>
  <c r="R13" i="52"/>
  <c r="R13" i="53"/>
  <c r="R13" i="54"/>
  <c r="R13" i="55"/>
  <c r="R13" i="56"/>
  <c r="R13" i="57"/>
  <c r="R13" i="58"/>
  <c r="R13" i="59"/>
  <c r="R12" i="60"/>
  <c r="R13" i="60"/>
  <c r="E32" i="60"/>
  <c r="E31" i="60"/>
  <c r="M30" i="60"/>
  <c r="O29" i="60"/>
  <c r="L29" i="60"/>
  <c r="N29" i="60" s="1"/>
  <c r="P29" i="60" s="1"/>
  <c r="K29" i="60"/>
  <c r="J29" i="60"/>
  <c r="E29" i="60"/>
  <c r="D29" i="60"/>
  <c r="C29" i="60"/>
  <c r="O28" i="60"/>
  <c r="L28" i="60"/>
  <c r="N28" i="60" s="1"/>
  <c r="P28" i="60" s="1"/>
  <c r="K28" i="60"/>
  <c r="J28" i="60"/>
  <c r="E28" i="60"/>
  <c r="D28" i="60"/>
  <c r="C28" i="60"/>
  <c r="O27" i="60"/>
  <c r="L27" i="60"/>
  <c r="N27" i="60" s="1"/>
  <c r="P27" i="60" s="1"/>
  <c r="K27" i="60"/>
  <c r="J27" i="60"/>
  <c r="E27" i="60"/>
  <c r="D27" i="60"/>
  <c r="C27" i="60"/>
  <c r="O26" i="60"/>
  <c r="L26" i="60"/>
  <c r="N26" i="60" s="1"/>
  <c r="P26" i="60" s="1"/>
  <c r="K26" i="60"/>
  <c r="J26" i="60"/>
  <c r="E26" i="60"/>
  <c r="D26" i="60"/>
  <c r="C26" i="60"/>
  <c r="O25" i="60"/>
  <c r="L25" i="60"/>
  <c r="N25" i="60" s="1"/>
  <c r="K25" i="60"/>
  <c r="J25" i="60"/>
  <c r="E25" i="60"/>
  <c r="D25" i="60"/>
  <c r="C25" i="60"/>
  <c r="O24" i="60"/>
  <c r="N24" i="60"/>
  <c r="L24" i="60"/>
  <c r="K24" i="60"/>
  <c r="J24" i="60"/>
  <c r="E24" i="60"/>
  <c r="D24" i="60"/>
  <c r="C24" i="60"/>
  <c r="O23" i="60"/>
  <c r="L23" i="60"/>
  <c r="N23" i="60" s="1"/>
  <c r="P23" i="60" s="1"/>
  <c r="K23" i="60"/>
  <c r="J23" i="60"/>
  <c r="E23" i="60"/>
  <c r="D23" i="60"/>
  <c r="C23" i="60"/>
  <c r="O22" i="60"/>
  <c r="L22" i="60"/>
  <c r="N22" i="60" s="1"/>
  <c r="K22" i="60"/>
  <c r="J22" i="60"/>
  <c r="E22" i="60"/>
  <c r="D22" i="60"/>
  <c r="C22" i="60"/>
  <c r="O21" i="60"/>
  <c r="L21" i="60"/>
  <c r="N21" i="60" s="1"/>
  <c r="K21" i="60"/>
  <c r="J21" i="60"/>
  <c r="E21" i="60"/>
  <c r="D21" i="60"/>
  <c r="C21" i="60"/>
  <c r="O20" i="60"/>
  <c r="L20" i="60"/>
  <c r="N20" i="60" s="1"/>
  <c r="P20" i="60" s="1"/>
  <c r="K20" i="60"/>
  <c r="J20" i="60"/>
  <c r="E20" i="60"/>
  <c r="D20" i="60"/>
  <c r="C20" i="60"/>
  <c r="O19" i="60"/>
  <c r="L19" i="60"/>
  <c r="N19" i="60" s="1"/>
  <c r="P19" i="60" s="1"/>
  <c r="K19" i="60"/>
  <c r="J19" i="60"/>
  <c r="E19" i="60"/>
  <c r="D19" i="60"/>
  <c r="C19" i="60"/>
  <c r="O18" i="60"/>
  <c r="L18" i="60"/>
  <c r="N18" i="60" s="1"/>
  <c r="P18" i="60" s="1"/>
  <c r="K18" i="60"/>
  <c r="J18" i="60"/>
  <c r="E18" i="60"/>
  <c r="D18" i="60"/>
  <c r="C18" i="60"/>
  <c r="O17" i="60"/>
  <c r="L17" i="60"/>
  <c r="N17" i="60" s="1"/>
  <c r="P17" i="60" s="1"/>
  <c r="K17" i="60"/>
  <c r="J17" i="60"/>
  <c r="E17" i="60"/>
  <c r="D17" i="60"/>
  <c r="C17" i="60"/>
  <c r="O16" i="60"/>
  <c r="L16" i="60"/>
  <c r="N16" i="60" s="1"/>
  <c r="P16" i="60" s="1"/>
  <c r="K16" i="60"/>
  <c r="J16" i="60"/>
  <c r="E16" i="60"/>
  <c r="D16" i="60"/>
  <c r="C16" i="60"/>
  <c r="O15" i="60"/>
  <c r="L15" i="60"/>
  <c r="N15" i="60" s="1"/>
  <c r="K15" i="60"/>
  <c r="J15" i="60"/>
  <c r="E15" i="60"/>
  <c r="D15" i="60"/>
  <c r="C15" i="60"/>
  <c r="O14" i="60"/>
  <c r="L14" i="60"/>
  <c r="N14" i="60" s="1"/>
  <c r="P14" i="60" s="1"/>
  <c r="K14" i="60"/>
  <c r="J14" i="60"/>
  <c r="E14" i="60"/>
  <c r="D14" i="60"/>
  <c r="C14" i="60"/>
  <c r="O13" i="60"/>
  <c r="L13" i="60"/>
  <c r="N13" i="60" s="1"/>
  <c r="K13" i="60"/>
  <c r="J13" i="60"/>
  <c r="E13" i="60"/>
  <c r="D13" i="60"/>
  <c r="C13" i="60"/>
  <c r="O12" i="60"/>
  <c r="L12" i="60"/>
  <c r="N12" i="60" s="1"/>
  <c r="K12" i="60"/>
  <c r="J12" i="60"/>
  <c r="E12" i="60"/>
  <c r="D12" i="60"/>
  <c r="C12" i="60"/>
  <c r="R11" i="60"/>
  <c r="O11" i="60"/>
  <c r="L11" i="60"/>
  <c r="N11" i="60" s="1"/>
  <c r="K11" i="60"/>
  <c r="J11" i="60"/>
  <c r="E11" i="60"/>
  <c r="D11" i="60"/>
  <c r="C11" i="60"/>
  <c r="R10" i="60"/>
  <c r="O10" i="60"/>
  <c r="L10" i="60"/>
  <c r="N10" i="60" s="1"/>
  <c r="K10" i="60"/>
  <c r="J10" i="60"/>
  <c r="E10" i="60"/>
  <c r="D10" i="60"/>
  <c r="C10" i="60"/>
  <c r="R9" i="60"/>
  <c r="R8" i="60"/>
  <c r="R7" i="60"/>
  <c r="R6" i="60"/>
  <c r="I6" i="60"/>
  <c r="H6" i="60"/>
  <c r="R5" i="60"/>
  <c r="D5" i="60"/>
  <c r="R4" i="60"/>
  <c r="R3" i="60"/>
  <c r="R2" i="60"/>
  <c r="R1" i="60"/>
  <c r="R12" i="47"/>
  <c r="R12" i="49"/>
  <c r="R12" i="50"/>
  <c r="R12" i="51"/>
  <c r="R12" i="52"/>
  <c r="R12" i="53"/>
  <c r="R12" i="54"/>
  <c r="R12" i="55"/>
  <c r="R12" i="56"/>
  <c r="R12" i="57"/>
  <c r="R12" i="58"/>
  <c r="R11" i="59"/>
  <c r="E32" i="59"/>
  <c r="E31" i="59"/>
  <c r="M30" i="59"/>
  <c r="O29" i="59"/>
  <c r="L29" i="59"/>
  <c r="N29" i="59" s="1"/>
  <c r="P29" i="59" s="1"/>
  <c r="K29" i="59"/>
  <c r="J29" i="59"/>
  <c r="E29" i="59"/>
  <c r="D29" i="59"/>
  <c r="C29" i="59"/>
  <c r="O28" i="59"/>
  <c r="L28" i="59"/>
  <c r="N28" i="59" s="1"/>
  <c r="P28" i="59" s="1"/>
  <c r="K28" i="59"/>
  <c r="J28" i="59"/>
  <c r="E28" i="59"/>
  <c r="D28" i="59"/>
  <c r="C28" i="59"/>
  <c r="O27" i="59"/>
  <c r="L27" i="59"/>
  <c r="N27" i="59" s="1"/>
  <c r="P27" i="59" s="1"/>
  <c r="K27" i="59"/>
  <c r="J27" i="59"/>
  <c r="E27" i="59"/>
  <c r="D27" i="59"/>
  <c r="C27" i="59"/>
  <c r="O26" i="59"/>
  <c r="L26" i="59"/>
  <c r="N26" i="59" s="1"/>
  <c r="K26" i="59"/>
  <c r="J26" i="59"/>
  <c r="E26" i="59"/>
  <c r="D26" i="59"/>
  <c r="C26" i="59"/>
  <c r="O25" i="59"/>
  <c r="L25" i="59"/>
  <c r="N25" i="59" s="1"/>
  <c r="P25" i="59" s="1"/>
  <c r="K25" i="59"/>
  <c r="J25" i="59"/>
  <c r="E25" i="59"/>
  <c r="D25" i="59"/>
  <c r="C25" i="59"/>
  <c r="O24" i="59"/>
  <c r="L24" i="59"/>
  <c r="N24" i="59" s="1"/>
  <c r="P24" i="59" s="1"/>
  <c r="K24" i="59"/>
  <c r="J24" i="59"/>
  <c r="E24" i="59"/>
  <c r="D24" i="59"/>
  <c r="C24" i="59"/>
  <c r="O23" i="59"/>
  <c r="L23" i="59"/>
  <c r="N23" i="59" s="1"/>
  <c r="K23" i="59"/>
  <c r="J23" i="59"/>
  <c r="E23" i="59"/>
  <c r="D23" i="59"/>
  <c r="C23" i="59"/>
  <c r="O22" i="59"/>
  <c r="L22" i="59"/>
  <c r="N22" i="59" s="1"/>
  <c r="P22" i="59" s="1"/>
  <c r="K22" i="59"/>
  <c r="J22" i="59"/>
  <c r="E22" i="59"/>
  <c r="D22" i="59"/>
  <c r="C22" i="59"/>
  <c r="O21" i="59"/>
  <c r="N21" i="59"/>
  <c r="P21" i="59" s="1"/>
  <c r="L21" i="59"/>
  <c r="K21" i="59"/>
  <c r="J21" i="59"/>
  <c r="E21" i="59"/>
  <c r="D21" i="59"/>
  <c r="C21" i="59"/>
  <c r="O20" i="59"/>
  <c r="L20" i="59"/>
  <c r="N20" i="59" s="1"/>
  <c r="P20" i="59" s="1"/>
  <c r="K20" i="59"/>
  <c r="J20" i="59"/>
  <c r="E20" i="59"/>
  <c r="D20" i="59"/>
  <c r="C20" i="59"/>
  <c r="O19" i="59"/>
  <c r="L19" i="59"/>
  <c r="N19" i="59" s="1"/>
  <c r="P19" i="59" s="1"/>
  <c r="K19" i="59"/>
  <c r="J19" i="59"/>
  <c r="E19" i="59"/>
  <c r="D19" i="59"/>
  <c r="C19" i="59"/>
  <c r="O18" i="59"/>
  <c r="L18" i="59"/>
  <c r="N18" i="59" s="1"/>
  <c r="P18" i="59" s="1"/>
  <c r="K18" i="59"/>
  <c r="J18" i="59"/>
  <c r="E18" i="59"/>
  <c r="D18" i="59"/>
  <c r="C18" i="59"/>
  <c r="O17" i="59"/>
  <c r="L17" i="59"/>
  <c r="N17" i="59" s="1"/>
  <c r="K17" i="59"/>
  <c r="J17" i="59"/>
  <c r="E17" i="59"/>
  <c r="D17" i="59"/>
  <c r="C17" i="59"/>
  <c r="O16" i="59"/>
  <c r="L16" i="59"/>
  <c r="N16" i="59" s="1"/>
  <c r="P16" i="59" s="1"/>
  <c r="K16" i="59"/>
  <c r="J16" i="59"/>
  <c r="E16" i="59"/>
  <c r="D16" i="59"/>
  <c r="C16" i="59"/>
  <c r="O15" i="59"/>
  <c r="L15" i="59"/>
  <c r="N15" i="59" s="1"/>
  <c r="K15" i="59"/>
  <c r="J15" i="59"/>
  <c r="E15" i="59"/>
  <c r="D15" i="59"/>
  <c r="C15" i="59"/>
  <c r="O14" i="59"/>
  <c r="L14" i="59"/>
  <c r="N14" i="59" s="1"/>
  <c r="P14" i="59" s="1"/>
  <c r="K14" i="59"/>
  <c r="J14" i="59"/>
  <c r="E14" i="59"/>
  <c r="D14" i="59"/>
  <c r="C14" i="59"/>
  <c r="O13" i="59"/>
  <c r="N13" i="59"/>
  <c r="P13" i="59" s="1"/>
  <c r="L13" i="59"/>
  <c r="K13" i="59"/>
  <c r="J13" i="59"/>
  <c r="E13" i="59"/>
  <c r="D13" i="59"/>
  <c r="C13" i="59"/>
  <c r="O12" i="59"/>
  <c r="L12" i="59"/>
  <c r="N12" i="59" s="1"/>
  <c r="K12" i="59"/>
  <c r="J12" i="59"/>
  <c r="E12" i="59"/>
  <c r="D12" i="59"/>
  <c r="C12" i="59"/>
  <c r="O11" i="59"/>
  <c r="L11" i="59"/>
  <c r="N11" i="59" s="1"/>
  <c r="P11" i="59" s="1"/>
  <c r="K11" i="59"/>
  <c r="J11" i="59"/>
  <c r="E11" i="59"/>
  <c r="D11" i="59"/>
  <c r="C11" i="59"/>
  <c r="R10" i="59"/>
  <c r="O10" i="59"/>
  <c r="L10" i="59"/>
  <c r="N10" i="59" s="1"/>
  <c r="K10" i="59"/>
  <c r="J10" i="59"/>
  <c r="E10" i="59"/>
  <c r="D10" i="59"/>
  <c r="C10" i="59"/>
  <c r="R9" i="59"/>
  <c r="R8" i="59"/>
  <c r="R7" i="59"/>
  <c r="R6" i="59"/>
  <c r="I6" i="59"/>
  <c r="H6" i="59"/>
  <c r="R5" i="59"/>
  <c r="D5" i="59"/>
  <c r="R4" i="59"/>
  <c r="R3" i="59"/>
  <c r="R2" i="59"/>
  <c r="R1" i="59"/>
  <c r="R11" i="47"/>
  <c r="R11" i="49"/>
  <c r="R11" i="50"/>
  <c r="R11" i="51"/>
  <c r="R11" i="52"/>
  <c r="R11" i="53"/>
  <c r="R11" i="54"/>
  <c r="R11" i="55"/>
  <c r="R11" i="56"/>
  <c r="R11" i="57"/>
  <c r="R10" i="58"/>
  <c r="R11" i="58"/>
  <c r="E32" i="58"/>
  <c r="E31" i="58"/>
  <c r="M30" i="58"/>
  <c r="O29" i="58"/>
  <c r="L29" i="58"/>
  <c r="N29" i="58" s="1"/>
  <c r="P29" i="58" s="1"/>
  <c r="K29" i="58"/>
  <c r="J29" i="58"/>
  <c r="E29" i="58"/>
  <c r="D29" i="58"/>
  <c r="C29" i="58"/>
  <c r="O28" i="58"/>
  <c r="L28" i="58"/>
  <c r="N28" i="58" s="1"/>
  <c r="P28" i="58" s="1"/>
  <c r="K28" i="58"/>
  <c r="J28" i="58"/>
  <c r="E28" i="58"/>
  <c r="D28" i="58"/>
  <c r="C28" i="58"/>
  <c r="O27" i="58"/>
  <c r="L27" i="58"/>
  <c r="N27" i="58" s="1"/>
  <c r="P27" i="58" s="1"/>
  <c r="K27" i="58"/>
  <c r="J27" i="58"/>
  <c r="E27" i="58"/>
  <c r="D27" i="58"/>
  <c r="C27" i="58"/>
  <c r="O26" i="58"/>
  <c r="L26" i="58"/>
  <c r="N26" i="58" s="1"/>
  <c r="K26" i="58"/>
  <c r="J26" i="58"/>
  <c r="E26" i="58"/>
  <c r="D26" i="58"/>
  <c r="C26" i="58"/>
  <c r="O25" i="58"/>
  <c r="L25" i="58"/>
  <c r="N25" i="58" s="1"/>
  <c r="K25" i="58"/>
  <c r="J25" i="58"/>
  <c r="E25" i="58"/>
  <c r="D25" i="58"/>
  <c r="C25" i="58"/>
  <c r="O24" i="58"/>
  <c r="P24" i="58" s="1"/>
  <c r="N24" i="58"/>
  <c r="L24" i="58"/>
  <c r="K24" i="58"/>
  <c r="J24" i="58"/>
  <c r="E24" i="58"/>
  <c r="D24" i="58"/>
  <c r="C24" i="58"/>
  <c r="O23" i="58"/>
  <c r="N23" i="58"/>
  <c r="L23" i="58"/>
  <c r="K23" i="58"/>
  <c r="J23" i="58"/>
  <c r="E23" i="58"/>
  <c r="D23" i="58"/>
  <c r="C23" i="58"/>
  <c r="O22" i="58"/>
  <c r="L22" i="58"/>
  <c r="N22" i="58" s="1"/>
  <c r="K22" i="58"/>
  <c r="J22" i="58"/>
  <c r="E22" i="58"/>
  <c r="D22" i="58"/>
  <c r="C22" i="58"/>
  <c r="O21" i="58"/>
  <c r="L21" i="58"/>
  <c r="N21" i="58" s="1"/>
  <c r="K21" i="58"/>
  <c r="J21" i="58"/>
  <c r="E21" i="58"/>
  <c r="D21" i="58"/>
  <c r="C21" i="58"/>
  <c r="O20" i="58"/>
  <c r="N20" i="58"/>
  <c r="P20" i="58" s="1"/>
  <c r="L20" i="58"/>
  <c r="K20" i="58"/>
  <c r="J20" i="58"/>
  <c r="E20" i="58"/>
  <c r="D20" i="58"/>
  <c r="C20" i="58"/>
  <c r="O19" i="58"/>
  <c r="N19" i="58"/>
  <c r="P19" i="58" s="1"/>
  <c r="L19" i="58"/>
  <c r="K19" i="58"/>
  <c r="J19" i="58"/>
  <c r="E19" i="58"/>
  <c r="D19" i="58"/>
  <c r="C19" i="58"/>
  <c r="O18" i="58"/>
  <c r="L18" i="58"/>
  <c r="N18" i="58" s="1"/>
  <c r="P18" i="58" s="1"/>
  <c r="K18" i="58"/>
  <c r="J18" i="58"/>
  <c r="E18" i="58"/>
  <c r="D18" i="58"/>
  <c r="C18" i="58"/>
  <c r="O17" i="58"/>
  <c r="L17" i="58"/>
  <c r="N17" i="58" s="1"/>
  <c r="P17" i="58" s="1"/>
  <c r="K17" i="58"/>
  <c r="J17" i="58"/>
  <c r="E17" i="58"/>
  <c r="D17" i="58"/>
  <c r="C17" i="58"/>
  <c r="O16" i="58"/>
  <c r="L16" i="58"/>
  <c r="N16" i="58" s="1"/>
  <c r="K16" i="58"/>
  <c r="J16" i="58"/>
  <c r="E16" i="58"/>
  <c r="D16" i="58"/>
  <c r="C16" i="58"/>
  <c r="O15" i="58"/>
  <c r="L15" i="58"/>
  <c r="N15" i="58" s="1"/>
  <c r="P15" i="58" s="1"/>
  <c r="K15" i="58"/>
  <c r="J15" i="58"/>
  <c r="E15" i="58"/>
  <c r="D15" i="58"/>
  <c r="C15" i="58"/>
  <c r="O14" i="58"/>
  <c r="L14" i="58"/>
  <c r="K14" i="58"/>
  <c r="J14" i="58"/>
  <c r="E14" i="58"/>
  <c r="D14" i="58"/>
  <c r="C14" i="58"/>
  <c r="O13" i="58"/>
  <c r="L13" i="58"/>
  <c r="N13" i="58" s="1"/>
  <c r="P13" i="58" s="1"/>
  <c r="K13" i="58"/>
  <c r="J13" i="58"/>
  <c r="E13" i="58"/>
  <c r="D13" i="58"/>
  <c r="C13" i="58"/>
  <c r="O12" i="58"/>
  <c r="L12" i="58"/>
  <c r="N12" i="58" s="1"/>
  <c r="P12" i="58" s="1"/>
  <c r="K12" i="58"/>
  <c r="J12" i="58"/>
  <c r="E12" i="58"/>
  <c r="D12" i="58"/>
  <c r="C12" i="58"/>
  <c r="O11" i="58"/>
  <c r="L11" i="58"/>
  <c r="N11" i="58" s="1"/>
  <c r="P11" i="58" s="1"/>
  <c r="K11" i="58"/>
  <c r="J11" i="58"/>
  <c r="E11" i="58"/>
  <c r="D11" i="58"/>
  <c r="C11" i="58"/>
  <c r="O10" i="58"/>
  <c r="N10" i="58"/>
  <c r="P10" i="58" s="1"/>
  <c r="L10" i="58"/>
  <c r="K10" i="58"/>
  <c r="J10" i="58"/>
  <c r="E10" i="58"/>
  <c r="D10" i="58"/>
  <c r="C10" i="58"/>
  <c r="R9" i="58"/>
  <c r="R8" i="58"/>
  <c r="R7" i="58"/>
  <c r="R6" i="58"/>
  <c r="I6" i="58"/>
  <c r="H6" i="58"/>
  <c r="R5" i="58"/>
  <c r="D5" i="58"/>
  <c r="R4" i="58"/>
  <c r="R3" i="58"/>
  <c r="R2" i="58"/>
  <c r="R1" i="58"/>
  <c r="R10" i="47"/>
  <c r="R10" i="49"/>
  <c r="R10" i="50"/>
  <c r="R10" i="51"/>
  <c r="R10" i="52"/>
  <c r="R10" i="53"/>
  <c r="R10" i="54"/>
  <c r="R10" i="55"/>
  <c r="R10" i="56"/>
  <c r="R9" i="57"/>
  <c r="R10" i="57"/>
  <c r="E32" i="57"/>
  <c r="E31" i="57"/>
  <c r="M30" i="57"/>
  <c r="O29" i="57"/>
  <c r="L29" i="57"/>
  <c r="N29" i="57" s="1"/>
  <c r="P29" i="57" s="1"/>
  <c r="K29" i="57"/>
  <c r="J29" i="57"/>
  <c r="E29" i="57"/>
  <c r="D29" i="57"/>
  <c r="C29" i="57"/>
  <c r="O28" i="57"/>
  <c r="L28" i="57"/>
  <c r="N28" i="57" s="1"/>
  <c r="K28" i="57"/>
  <c r="J28" i="57"/>
  <c r="E28" i="57"/>
  <c r="D28" i="57"/>
  <c r="C28" i="57"/>
  <c r="O27" i="57"/>
  <c r="L27" i="57"/>
  <c r="N27" i="57" s="1"/>
  <c r="P27" i="57" s="1"/>
  <c r="K27" i="57"/>
  <c r="J27" i="57"/>
  <c r="E27" i="57"/>
  <c r="D27" i="57"/>
  <c r="C27" i="57"/>
  <c r="O26" i="57"/>
  <c r="L26" i="57"/>
  <c r="N26" i="57" s="1"/>
  <c r="K26" i="57"/>
  <c r="J26" i="57"/>
  <c r="E26" i="57"/>
  <c r="D26" i="57"/>
  <c r="C26" i="57"/>
  <c r="O25" i="57"/>
  <c r="L25" i="57"/>
  <c r="N25" i="57" s="1"/>
  <c r="P25" i="57" s="1"/>
  <c r="K25" i="57"/>
  <c r="J25" i="57"/>
  <c r="E25" i="57"/>
  <c r="D25" i="57"/>
  <c r="C25" i="57"/>
  <c r="O24" i="57"/>
  <c r="L24" i="57"/>
  <c r="N24" i="57" s="1"/>
  <c r="K24" i="57"/>
  <c r="J24" i="57"/>
  <c r="E24" i="57"/>
  <c r="D24" i="57"/>
  <c r="C24" i="57"/>
  <c r="O23" i="57"/>
  <c r="L23" i="57"/>
  <c r="N23" i="57" s="1"/>
  <c r="K23" i="57"/>
  <c r="J23" i="57"/>
  <c r="E23" i="57"/>
  <c r="D23" i="57"/>
  <c r="C23" i="57"/>
  <c r="O22" i="57"/>
  <c r="L22" i="57"/>
  <c r="N22" i="57" s="1"/>
  <c r="P22" i="57" s="1"/>
  <c r="K22" i="57"/>
  <c r="J22" i="57"/>
  <c r="E22" i="57"/>
  <c r="D22" i="57"/>
  <c r="C22" i="57"/>
  <c r="O21" i="57"/>
  <c r="L21" i="57"/>
  <c r="N21" i="57" s="1"/>
  <c r="K21" i="57"/>
  <c r="J21" i="57"/>
  <c r="E21" i="57"/>
  <c r="D21" i="57"/>
  <c r="C21" i="57"/>
  <c r="O20" i="57"/>
  <c r="L20" i="57"/>
  <c r="N20" i="57" s="1"/>
  <c r="P20" i="57" s="1"/>
  <c r="K20" i="57"/>
  <c r="J20" i="57"/>
  <c r="E20" i="57"/>
  <c r="D20" i="57"/>
  <c r="C20" i="57"/>
  <c r="O19" i="57"/>
  <c r="L19" i="57"/>
  <c r="N19" i="57" s="1"/>
  <c r="P19" i="57" s="1"/>
  <c r="K19" i="57"/>
  <c r="J19" i="57"/>
  <c r="E19" i="57"/>
  <c r="D19" i="57"/>
  <c r="C19" i="57"/>
  <c r="O18" i="57"/>
  <c r="N18" i="57"/>
  <c r="P18" i="57" s="1"/>
  <c r="L18" i="57"/>
  <c r="K18" i="57"/>
  <c r="J18" i="57"/>
  <c r="E18" i="57"/>
  <c r="D18" i="57"/>
  <c r="C18" i="57"/>
  <c r="O17" i="57"/>
  <c r="L17" i="57"/>
  <c r="N17" i="57" s="1"/>
  <c r="P17" i="57" s="1"/>
  <c r="K17" i="57"/>
  <c r="J17" i="57"/>
  <c r="E17" i="57"/>
  <c r="D17" i="57"/>
  <c r="C17" i="57"/>
  <c r="O16" i="57"/>
  <c r="L16" i="57"/>
  <c r="N16" i="57" s="1"/>
  <c r="P16" i="57" s="1"/>
  <c r="K16" i="57"/>
  <c r="J16" i="57"/>
  <c r="E16" i="57"/>
  <c r="D16" i="57"/>
  <c r="C16" i="57"/>
  <c r="O15" i="57"/>
  <c r="L15" i="57"/>
  <c r="N15" i="57" s="1"/>
  <c r="P15" i="57" s="1"/>
  <c r="K15" i="57"/>
  <c r="J15" i="57"/>
  <c r="E15" i="57"/>
  <c r="D15" i="57"/>
  <c r="C15" i="57"/>
  <c r="O14" i="57"/>
  <c r="L14" i="57"/>
  <c r="N14" i="57" s="1"/>
  <c r="K14" i="57"/>
  <c r="J14" i="57"/>
  <c r="E14" i="57"/>
  <c r="D14" i="57"/>
  <c r="C14" i="57"/>
  <c r="O13" i="57"/>
  <c r="L13" i="57"/>
  <c r="N13" i="57" s="1"/>
  <c r="K13" i="57"/>
  <c r="J13" i="57"/>
  <c r="E13" i="57"/>
  <c r="D13" i="57"/>
  <c r="C13" i="57"/>
  <c r="O12" i="57"/>
  <c r="L12" i="57"/>
  <c r="N12" i="57" s="1"/>
  <c r="P12" i="57" s="1"/>
  <c r="K12" i="57"/>
  <c r="J12" i="57"/>
  <c r="E12" i="57"/>
  <c r="D12" i="57"/>
  <c r="C12" i="57"/>
  <c r="O11" i="57"/>
  <c r="L11" i="57"/>
  <c r="N11" i="57" s="1"/>
  <c r="K11" i="57"/>
  <c r="J11" i="57"/>
  <c r="E11" i="57"/>
  <c r="D11" i="57"/>
  <c r="C11" i="57"/>
  <c r="O10" i="57"/>
  <c r="L10" i="57"/>
  <c r="L30" i="57" s="1"/>
  <c r="K10" i="57"/>
  <c r="J10" i="57"/>
  <c r="E10" i="57"/>
  <c r="D10" i="57"/>
  <c r="C10" i="57"/>
  <c r="R8" i="57"/>
  <c r="R7" i="57"/>
  <c r="R6" i="57"/>
  <c r="I6" i="57"/>
  <c r="H6" i="57"/>
  <c r="R5" i="57"/>
  <c r="D5" i="57"/>
  <c r="R4" i="57"/>
  <c r="R3" i="57"/>
  <c r="R2" i="57"/>
  <c r="R1" i="57"/>
  <c r="R9" i="47"/>
  <c r="R9" i="49"/>
  <c r="R9" i="50"/>
  <c r="R9" i="51"/>
  <c r="R9" i="52"/>
  <c r="R9" i="53"/>
  <c r="R9" i="54"/>
  <c r="R9" i="55"/>
  <c r="R8" i="56"/>
  <c r="R9" i="56"/>
  <c r="E32" i="56"/>
  <c r="E31" i="56"/>
  <c r="M30" i="56"/>
  <c r="O29" i="56"/>
  <c r="L29" i="56"/>
  <c r="N29" i="56" s="1"/>
  <c r="P29" i="56" s="1"/>
  <c r="K29" i="56"/>
  <c r="J29" i="56"/>
  <c r="E29" i="56"/>
  <c r="D29" i="56"/>
  <c r="C29" i="56"/>
  <c r="O28" i="56"/>
  <c r="L28" i="56"/>
  <c r="N28" i="56" s="1"/>
  <c r="P28" i="56" s="1"/>
  <c r="K28" i="56"/>
  <c r="J28" i="56"/>
  <c r="E28" i="56"/>
  <c r="D28" i="56"/>
  <c r="C28" i="56"/>
  <c r="O27" i="56"/>
  <c r="L27" i="56"/>
  <c r="N27" i="56" s="1"/>
  <c r="P27" i="56" s="1"/>
  <c r="K27" i="56"/>
  <c r="J27" i="56"/>
  <c r="E27" i="56"/>
  <c r="D27" i="56"/>
  <c r="C27" i="56"/>
  <c r="O26" i="56"/>
  <c r="L26" i="56"/>
  <c r="N26" i="56" s="1"/>
  <c r="P26" i="56" s="1"/>
  <c r="K26" i="56"/>
  <c r="J26" i="56"/>
  <c r="E26" i="56"/>
  <c r="D26" i="56"/>
  <c r="C26" i="56"/>
  <c r="O25" i="56"/>
  <c r="L25" i="56"/>
  <c r="N25" i="56" s="1"/>
  <c r="P25" i="56" s="1"/>
  <c r="K25" i="56"/>
  <c r="J25" i="56"/>
  <c r="E25" i="56"/>
  <c r="D25" i="56"/>
  <c r="C25" i="56"/>
  <c r="O24" i="56"/>
  <c r="L24" i="56"/>
  <c r="N24" i="56" s="1"/>
  <c r="K24" i="56"/>
  <c r="J24" i="56"/>
  <c r="E24" i="56"/>
  <c r="D24" i="56"/>
  <c r="C24" i="56"/>
  <c r="O23" i="56"/>
  <c r="L23" i="56"/>
  <c r="N23" i="56" s="1"/>
  <c r="K23" i="56"/>
  <c r="J23" i="56"/>
  <c r="E23" i="56"/>
  <c r="D23" i="56"/>
  <c r="C23" i="56"/>
  <c r="O22" i="56"/>
  <c r="L22" i="56"/>
  <c r="N22" i="56" s="1"/>
  <c r="K22" i="56"/>
  <c r="J22" i="56"/>
  <c r="E22" i="56"/>
  <c r="D22" i="56"/>
  <c r="C22" i="56"/>
  <c r="O21" i="56"/>
  <c r="L21" i="56"/>
  <c r="N21" i="56" s="1"/>
  <c r="P21" i="56" s="1"/>
  <c r="K21" i="56"/>
  <c r="J21" i="56"/>
  <c r="E21" i="56"/>
  <c r="D21" i="56"/>
  <c r="C21" i="56"/>
  <c r="O20" i="56"/>
  <c r="L20" i="56"/>
  <c r="N20" i="56" s="1"/>
  <c r="K20" i="56"/>
  <c r="J20" i="56"/>
  <c r="E20" i="56"/>
  <c r="D20" i="56"/>
  <c r="C20" i="56"/>
  <c r="O19" i="56"/>
  <c r="L19" i="56"/>
  <c r="N19" i="56" s="1"/>
  <c r="P19" i="56" s="1"/>
  <c r="K19" i="56"/>
  <c r="J19" i="56"/>
  <c r="E19" i="56"/>
  <c r="D19" i="56"/>
  <c r="C19" i="56"/>
  <c r="O18" i="56"/>
  <c r="L18" i="56"/>
  <c r="N18" i="56" s="1"/>
  <c r="K18" i="56"/>
  <c r="J18" i="56"/>
  <c r="E18" i="56"/>
  <c r="D18" i="56"/>
  <c r="C18" i="56"/>
  <c r="O17" i="56"/>
  <c r="N17" i="56"/>
  <c r="P17" i="56" s="1"/>
  <c r="L17" i="56"/>
  <c r="K17" i="56"/>
  <c r="J17" i="56"/>
  <c r="E17" i="56"/>
  <c r="D17" i="56"/>
  <c r="C17" i="56"/>
  <c r="O16" i="56"/>
  <c r="L16" i="56"/>
  <c r="N16" i="56" s="1"/>
  <c r="P16" i="56" s="1"/>
  <c r="K16" i="56"/>
  <c r="J16" i="56"/>
  <c r="E16" i="56"/>
  <c r="D16" i="56"/>
  <c r="C16" i="56"/>
  <c r="O15" i="56"/>
  <c r="L15" i="56"/>
  <c r="N15" i="56" s="1"/>
  <c r="K15" i="56"/>
  <c r="J15" i="56"/>
  <c r="E15" i="56"/>
  <c r="D15" i="56"/>
  <c r="C15" i="56"/>
  <c r="O14" i="56"/>
  <c r="L14" i="56"/>
  <c r="N14" i="56" s="1"/>
  <c r="P14" i="56" s="1"/>
  <c r="K14" i="56"/>
  <c r="J14" i="56"/>
  <c r="E14" i="56"/>
  <c r="D14" i="56"/>
  <c r="C14" i="56"/>
  <c r="O13" i="56"/>
  <c r="N13" i="56"/>
  <c r="P13" i="56" s="1"/>
  <c r="L13" i="56"/>
  <c r="K13" i="56"/>
  <c r="J13" i="56"/>
  <c r="E13" i="56"/>
  <c r="D13" i="56"/>
  <c r="C13" i="56"/>
  <c r="O12" i="56"/>
  <c r="L12" i="56"/>
  <c r="N12" i="56" s="1"/>
  <c r="K12" i="56"/>
  <c r="J12" i="56"/>
  <c r="E12" i="56"/>
  <c r="D12" i="56"/>
  <c r="C12" i="56"/>
  <c r="O11" i="56"/>
  <c r="L11" i="56"/>
  <c r="N11" i="56" s="1"/>
  <c r="P11" i="56" s="1"/>
  <c r="K11" i="56"/>
  <c r="J11" i="56"/>
  <c r="E11" i="56"/>
  <c r="D11" i="56"/>
  <c r="C11" i="56"/>
  <c r="O10" i="56"/>
  <c r="L10" i="56"/>
  <c r="N10" i="56" s="1"/>
  <c r="K10" i="56"/>
  <c r="J10" i="56"/>
  <c r="E10" i="56"/>
  <c r="D10" i="56"/>
  <c r="C10" i="56"/>
  <c r="R7" i="56"/>
  <c r="R6" i="56"/>
  <c r="I6" i="56"/>
  <c r="H6" i="56"/>
  <c r="R5" i="56"/>
  <c r="D5" i="56"/>
  <c r="R4" i="56"/>
  <c r="R3" i="56"/>
  <c r="R2" i="56"/>
  <c r="R1" i="56"/>
  <c r="R8" i="47"/>
  <c r="R8" i="49"/>
  <c r="R8" i="50"/>
  <c r="R8" i="51"/>
  <c r="R8" i="52"/>
  <c r="R8" i="53"/>
  <c r="R8" i="54"/>
  <c r="R7" i="55"/>
  <c r="R8" i="55"/>
  <c r="E32" i="55"/>
  <c r="E31" i="55"/>
  <c r="M30" i="55"/>
  <c r="O29" i="55"/>
  <c r="L29" i="55"/>
  <c r="N29" i="55" s="1"/>
  <c r="P29" i="55" s="1"/>
  <c r="K29" i="55"/>
  <c r="J29" i="55"/>
  <c r="E29" i="55"/>
  <c r="D29" i="55"/>
  <c r="C29" i="55"/>
  <c r="O28" i="55"/>
  <c r="L28" i="55"/>
  <c r="N28" i="55" s="1"/>
  <c r="K28" i="55"/>
  <c r="J28" i="55"/>
  <c r="E28" i="55"/>
  <c r="D28" i="55"/>
  <c r="C28" i="55"/>
  <c r="O27" i="55"/>
  <c r="N27" i="55"/>
  <c r="L27" i="55"/>
  <c r="K27" i="55"/>
  <c r="J27" i="55"/>
  <c r="E27" i="55"/>
  <c r="D27" i="55"/>
  <c r="C27" i="55"/>
  <c r="O26" i="55"/>
  <c r="N26" i="55"/>
  <c r="L26" i="55"/>
  <c r="K26" i="55"/>
  <c r="J26" i="55"/>
  <c r="E26" i="55"/>
  <c r="D26" i="55"/>
  <c r="C26" i="55"/>
  <c r="O25" i="55"/>
  <c r="N25" i="55"/>
  <c r="L25" i="55"/>
  <c r="K25" i="55"/>
  <c r="J25" i="55"/>
  <c r="E25" i="55"/>
  <c r="D25" i="55"/>
  <c r="C25" i="55"/>
  <c r="O24" i="55"/>
  <c r="L24" i="55"/>
  <c r="N24" i="55" s="1"/>
  <c r="K24" i="55"/>
  <c r="J24" i="55"/>
  <c r="E24" i="55"/>
  <c r="D24" i="55"/>
  <c r="C24" i="55"/>
  <c r="O23" i="55"/>
  <c r="L23" i="55"/>
  <c r="N23" i="55" s="1"/>
  <c r="P23" i="55" s="1"/>
  <c r="K23" i="55"/>
  <c r="J23" i="55"/>
  <c r="E23" i="55"/>
  <c r="D23" i="55"/>
  <c r="C23" i="55"/>
  <c r="O22" i="55"/>
  <c r="L22" i="55"/>
  <c r="N22" i="55" s="1"/>
  <c r="K22" i="55"/>
  <c r="J22" i="55"/>
  <c r="E22" i="55"/>
  <c r="D22" i="55"/>
  <c r="C22" i="55"/>
  <c r="O21" i="55"/>
  <c r="L21" i="55"/>
  <c r="N21" i="55" s="1"/>
  <c r="P21" i="55" s="1"/>
  <c r="K21" i="55"/>
  <c r="J21" i="55"/>
  <c r="E21" i="55"/>
  <c r="D21" i="55"/>
  <c r="C21" i="55"/>
  <c r="O20" i="55"/>
  <c r="L20" i="55"/>
  <c r="N20" i="55" s="1"/>
  <c r="K20" i="55"/>
  <c r="J20" i="55"/>
  <c r="E20" i="55"/>
  <c r="D20" i="55"/>
  <c r="C20" i="55"/>
  <c r="O19" i="55"/>
  <c r="N19" i="55"/>
  <c r="P19" i="55" s="1"/>
  <c r="L19" i="55"/>
  <c r="K19" i="55"/>
  <c r="J19" i="55"/>
  <c r="E19" i="55"/>
  <c r="D19" i="55"/>
  <c r="C19" i="55"/>
  <c r="O18" i="55"/>
  <c r="N18" i="55"/>
  <c r="P18" i="55" s="1"/>
  <c r="L18" i="55"/>
  <c r="K18" i="55"/>
  <c r="J18" i="55"/>
  <c r="E18" i="55"/>
  <c r="D18" i="55"/>
  <c r="C18" i="55"/>
  <c r="O17" i="55"/>
  <c r="N17" i="55"/>
  <c r="P17" i="55" s="1"/>
  <c r="L17" i="55"/>
  <c r="K17" i="55"/>
  <c r="J17" i="55"/>
  <c r="E17" i="55"/>
  <c r="D17" i="55"/>
  <c r="C17" i="55"/>
  <c r="O16" i="55"/>
  <c r="N16" i="55"/>
  <c r="L16" i="55"/>
  <c r="K16" i="55"/>
  <c r="J16" i="55"/>
  <c r="E16" i="55"/>
  <c r="D16" i="55"/>
  <c r="C16" i="55"/>
  <c r="O15" i="55"/>
  <c r="N15" i="55"/>
  <c r="P15" i="55" s="1"/>
  <c r="L15" i="55"/>
  <c r="K15" i="55"/>
  <c r="J15" i="55"/>
  <c r="E15" i="55"/>
  <c r="D15" i="55"/>
  <c r="C15" i="55"/>
  <c r="O14" i="55"/>
  <c r="L14" i="55"/>
  <c r="N14" i="55" s="1"/>
  <c r="P14" i="55" s="1"/>
  <c r="K14" i="55"/>
  <c r="J14" i="55"/>
  <c r="E14" i="55"/>
  <c r="D14" i="55"/>
  <c r="C14" i="55"/>
  <c r="O13" i="55"/>
  <c r="L13" i="55"/>
  <c r="N13" i="55" s="1"/>
  <c r="K13" i="55"/>
  <c r="J13" i="55"/>
  <c r="E13" i="55"/>
  <c r="D13" i="55"/>
  <c r="C13" i="55"/>
  <c r="O12" i="55"/>
  <c r="L12" i="55"/>
  <c r="N12" i="55" s="1"/>
  <c r="P12" i="55" s="1"/>
  <c r="K12" i="55"/>
  <c r="J12" i="55"/>
  <c r="E12" i="55"/>
  <c r="D12" i="55"/>
  <c r="C12" i="55"/>
  <c r="O11" i="55"/>
  <c r="L11" i="55"/>
  <c r="N11" i="55" s="1"/>
  <c r="P11" i="55" s="1"/>
  <c r="K11" i="55"/>
  <c r="J11" i="55"/>
  <c r="E11" i="55"/>
  <c r="D11" i="55"/>
  <c r="C11" i="55"/>
  <c r="O10" i="55"/>
  <c r="L10" i="55"/>
  <c r="K10" i="55"/>
  <c r="J10" i="55"/>
  <c r="E10" i="55"/>
  <c r="D10" i="55"/>
  <c r="C10" i="55"/>
  <c r="R6" i="55"/>
  <c r="I6" i="55"/>
  <c r="H6" i="55"/>
  <c r="R5" i="55"/>
  <c r="D5" i="55"/>
  <c r="R4" i="55"/>
  <c r="R3" i="55"/>
  <c r="R2" i="55"/>
  <c r="R1" i="55"/>
  <c r="R7" i="47"/>
  <c r="R7" i="49"/>
  <c r="R7" i="50"/>
  <c r="R7" i="51"/>
  <c r="R7" i="52"/>
  <c r="R7" i="53"/>
  <c r="R6" i="54"/>
  <c r="R7" i="54"/>
  <c r="E32" i="54"/>
  <c r="E31" i="54"/>
  <c r="M30" i="54"/>
  <c r="O29" i="54"/>
  <c r="L29" i="54"/>
  <c r="N29" i="54" s="1"/>
  <c r="P29" i="54" s="1"/>
  <c r="K29" i="54"/>
  <c r="J29" i="54"/>
  <c r="E29" i="54"/>
  <c r="D29" i="54"/>
  <c r="C29" i="54"/>
  <c r="O28" i="54"/>
  <c r="L28" i="54"/>
  <c r="N28" i="54" s="1"/>
  <c r="K28" i="54"/>
  <c r="J28" i="54"/>
  <c r="E28" i="54"/>
  <c r="D28" i="54"/>
  <c r="C28" i="54"/>
  <c r="O27" i="54"/>
  <c r="N27" i="54"/>
  <c r="L27" i="54"/>
  <c r="K27" i="54"/>
  <c r="J27" i="54"/>
  <c r="E27" i="54"/>
  <c r="D27" i="54"/>
  <c r="C27" i="54"/>
  <c r="O26" i="54"/>
  <c r="L26" i="54"/>
  <c r="N26" i="54" s="1"/>
  <c r="K26" i="54"/>
  <c r="J26" i="54"/>
  <c r="E26" i="54"/>
  <c r="D26" i="54"/>
  <c r="C26" i="54"/>
  <c r="O25" i="54"/>
  <c r="L25" i="54"/>
  <c r="N25" i="54" s="1"/>
  <c r="P25" i="54" s="1"/>
  <c r="K25" i="54"/>
  <c r="J25" i="54"/>
  <c r="E25" i="54"/>
  <c r="D25" i="54"/>
  <c r="C25" i="54"/>
  <c r="O24" i="54"/>
  <c r="L24" i="54"/>
  <c r="N24" i="54" s="1"/>
  <c r="K24" i="54"/>
  <c r="J24" i="54"/>
  <c r="E24" i="54"/>
  <c r="D24" i="54"/>
  <c r="C24" i="54"/>
  <c r="O23" i="54"/>
  <c r="L23" i="54"/>
  <c r="N23" i="54" s="1"/>
  <c r="P23" i="54" s="1"/>
  <c r="K23" i="54"/>
  <c r="J23" i="54"/>
  <c r="E23" i="54"/>
  <c r="D23" i="54"/>
  <c r="C23" i="54"/>
  <c r="O22" i="54"/>
  <c r="L22" i="54"/>
  <c r="N22" i="54" s="1"/>
  <c r="K22" i="54"/>
  <c r="J22" i="54"/>
  <c r="E22" i="54"/>
  <c r="D22" i="54"/>
  <c r="C22" i="54"/>
  <c r="O21" i="54"/>
  <c r="L21" i="54"/>
  <c r="N21" i="54" s="1"/>
  <c r="P21" i="54" s="1"/>
  <c r="K21" i="54"/>
  <c r="J21" i="54"/>
  <c r="E21" i="54"/>
  <c r="D21" i="54"/>
  <c r="C21" i="54"/>
  <c r="O20" i="54"/>
  <c r="L20" i="54"/>
  <c r="N20" i="54" s="1"/>
  <c r="K20" i="54"/>
  <c r="J20" i="54"/>
  <c r="E20" i="54"/>
  <c r="D20" i="54"/>
  <c r="C20" i="54"/>
  <c r="O19" i="54"/>
  <c r="N19" i="54"/>
  <c r="P19" i="54" s="1"/>
  <c r="L19" i="54"/>
  <c r="K19" i="54"/>
  <c r="J19" i="54"/>
  <c r="E19" i="54"/>
  <c r="D19" i="54"/>
  <c r="C19" i="54"/>
  <c r="O18" i="54"/>
  <c r="L18" i="54"/>
  <c r="N18" i="54" s="1"/>
  <c r="P18" i="54" s="1"/>
  <c r="K18" i="54"/>
  <c r="J18" i="54"/>
  <c r="E18" i="54"/>
  <c r="D18" i="54"/>
  <c r="C18" i="54"/>
  <c r="O17" i="54"/>
  <c r="L17" i="54"/>
  <c r="N17" i="54" s="1"/>
  <c r="P17" i="54" s="1"/>
  <c r="K17" i="54"/>
  <c r="J17" i="54"/>
  <c r="E17" i="54"/>
  <c r="D17" i="54"/>
  <c r="C17" i="54"/>
  <c r="O16" i="54"/>
  <c r="L16" i="54"/>
  <c r="N16" i="54" s="1"/>
  <c r="K16" i="54"/>
  <c r="J16" i="54"/>
  <c r="E16" i="54"/>
  <c r="D16" i="54"/>
  <c r="C16" i="54"/>
  <c r="O15" i="54"/>
  <c r="L15" i="54"/>
  <c r="N15" i="54" s="1"/>
  <c r="P15" i="54" s="1"/>
  <c r="K15" i="54"/>
  <c r="J15" i="54"/>
  <c r="E15" i="54"/>
  <c r="D15" i="54"/>
  <c r="C15" i="54"/>
  <c r="O14" i="54"/>
  <c r="L14" i="54"/>
  <c r="N14" i="54" s="1"/>
  <c r="K14" i="54"/>
  <c r="J14" i="54"/>
  <c r="E14" i="54"/>
  <c r="D14" i="54"/>
  <c r="C14" i="54"/>
  <c r="O13" i="54"/>
  <c r="L13" i="54"/>
  <c r="N13" i="54" s="1"/>
  <c r="K13" i="54"/>
  <c r="J13" i="54"/>
  <c r="E13" i="54"/>
  <c r="D13" i="54"/>
  <c r="C13" i="54"/>
  <c r="O12" i="54"/>
  <c r="L12" i="54"/>
  <c r="N12" i="54" s="1"/>
  <c r="P12" i="54" s="1"/>
  <c r="K12" i="54"/>
  <c r="J12" i="54"/>
  <c r="E12" i="54"/>
  <c r="D12" i="54"/>
  <c r="C12" i="54"/>
  <c r="O11" i="54"/>
  <c r="L11" i="54"/>
  <c r="N11" i="54" s="1"/>
  <c r="P11" i="54" s="1"/>
  <c r="K11" i="54"/>
  <c r="J11" i="54"/>
  <c r="E11" i="54"/>
  <c r="D11" i="54"/>
  <c r="C11" i="54"/>
  <c r="O10" i="54"/>
  <c r="L10" i="54"/>
  <c r="N10" i="54" s="1"/>
  <c r="K10" i="54"/>
  <c r="J10" i="54"/>
  <c r="E10" i="54"/>
  <c r="D10" i="54"/>
  <c r="C10" i="54"/>
  <c r="I6" i="54"/>
  <c r="H6" i="54"/>
  <c r="R5" i="54"/>
  <c r="D5" i="54"/>
  <c r="R4" i="54"/>
  <c r="R3" i="54"/>
  <c r="R2" i="54"/>
  <c r="R1" i="54"/>
  <c r="R6" i="47"/>
  <c r="R6" i="49"/>
  <c r="R6" i="50"/>
  <c r="R6" i="51"/>
  <c r="R6" i="52"/>
  <c r="R5" i="53"/>
  <c r="R6" i="53"/>
  <c r="E32" i="53"/>
  <c r="E31" i="53"/>
  <c r="M30" i="53"/>
  <c r="O29" i="53"/>
  <c r="L29" i="53"/>
  <c r="N29" i="53" s="1"/>
  <c r="P29" i="53" s="1"/>
  <c r="K29" i="53"/>
  <c r="J29" i="53"/>
  <c r="E29" i="53"/>
  <c r="D29" i="53"/>
  <c r="C29" i="53"/>
  <c r="O28" i="53"/>
  <c r="L28" i="53"/>
  <c r="N28" i="53" s="1"/>
  <c r="P28" i="53" s="1"/>
  <c r="K28" i="53"/>
  <c r="J28" i="53"/>
  <c r="E28" i="53"/>
  <c r="D28" i="53"/>
  <c r="C28" i="53"/>
  <c r="O27" i="53"/>
  <c r="L27" i="53"/>
  <c r="N27" i="53" s="1"/>
  <c r="P27" i="53" s="1"/>
  <c r="K27" i="53"/>
  <c r="J27" i="53"/>
  <c r="E27" i="53"/>
  <c r="D27" i="53"/>
  <c r="C27" i="53"/>
  <c r="O26" i="53"/>
  <c r="L26" i="53"/>
  <c r="N26" i="53" s="1"/>
  <c r="K26" i="53"/>
  <c r="J26" i="53"/>
  <c r="E26" i="53"/>
  <c r="D26" i="53"/>
  <c r="C26" i="53"/>
  <c r="O25" i="53"/>
  <c r="L25" i="53"/>
  <c r="N25" i="53" s="1"/>
  <c r="K25" i="53"/>
  <c r="J25" i="53"/>
  <c r="E25" i="53"/>
  <c r="D25" i="53"/>
  <c r="C25" i="53"/>
  <c r="O24" i="53"/>
  <c r="L24" i="53"/>
  <c r="N24" i="53" s="1"/>
  <c r="K24" i="53"/>
  <c r="J24" i="53"/>
  <c r="E24" i="53"/>
  <c r="D24" i="53"/>
  <c r="C24" i="53"/>
  <c r="O23" i="53"/>
  <c r="L23" i="53"/>
  <c r="N23" i="53" s="1"/>
  <c r="K23" i="53"/>
  <c r="J23" i="53"/>
  <c r="E23" i="53"/>
  <c r="D23" i="53"/>
  <c r="C23" i="53"/>
  <c r="O22" i="53"/>
  <c r="L22" i="53"/>
  <c r="N22" i="53" s="1"/>
  <c r="P22" i="53" s="1"/>
  <c r="K22" i="53"/>
  <c r="J22" i="53"/>
  <c r="E22" i="53"/>
  <c r="D22" i="53"/>
  <c r="C22" i="53"/>
  <c r="O21" i="53"/>
  <c r="L21" i="53"/>
  <c r="N21" i="53" s="1"/>
  <c r="P21" i="53" s="1"/>
  <c r="K21" i="53"/>
  <c r="J21" i="53"/>
  <c r="E21" i="53"/>
  <c r="D21" i="53"/>
  <c r="C21" i="53"/>
  <c r="O20" i="53"/>
  <c r="L20" i="53"/>
  <c r="N20" i="53" s="1"/>
  <c r="K20" i="53"/>
  <c r="J20" i="53"/>
  <c r="E20" i="53"/>
  <c r="D20" i="53"/>
  <c r="C20" i="53"/>
  <c r="O19" i="53"/>
  <c r="N19" i="53"/>
  <c r="P19" i="53" s="1"/>
  <c r="L19" i="53"/>
  <c r="K19" i="53"/>
  <c r="J19" i="53"/>
  <c r="E19" i="53"/>
  <c r="D19" i="53"/>
  <c r="C19" i="53"/>
  <c r="O18" i="53"/>
  <c r="N18" i="53"/>
  <c r="P18" i="53" s="1"/>
  <c r="L18" i="53"/>
  <c r="K18" i="53"/>
  <c r="J18" i="53"/>
  <c r="E18" i="53"/>
  <c r="D18" i="53"/>
  <c r="C18" i="53"/>
  <c r="O17" i="53"/>
  <c r="L17" i="53"/>
  <c r="N17" i="53" s="1"/>
  <c r="P17" i="53" s="1"/>
  <c r="K17" i="53"/>
  <c r="J17" i="53"/>
  <c r="E17" i="53"/>
  <c r="D17" i="53"/>
  <c r="C17" i="53"/>
  <c r="O16" i="53"/>
  <c r="L16" i="53"/>
  <c r="N16" i="53" s="1"/>
  <c r="K16" i="53"/>
  <c r="J16" i="53"/>
  <c r="E16" i="53"/>
  <c r="D16" i="53"/>
  <c r="C16" i="53"/>
  <c r="O15" i="53"/>
  <c r="L15" i="53"/>
  <c r="N15" i="53" s="1"/>
  <c r="P15" i="53" s="1"/>
  <c r="K15" i="53"/>
  <c r="J15" i="53"/>
  <c r="E15" i="53"/>
  <c r="D15" i="53"/>
  <c r="C15" i="53"/>
  <c r="O14" i="53"/>
  <c r="L14" i="53"/>
  <c r="K14" i="53"/>
  <c r="J14" i="53"/>
  <c r="E14" i="53"/>
  <c r="D14" i="53"/>
  <c r="C14" i="53"/>
  <c r="O13" i="53"/>
  <c r="L13" i="53"/>
  <c r="N13" i="53" s="1"/>
  <c r="P13" i="53" s="1"/>
  <c r="K13" i="53"/>
  <c r="J13" i="53"/>
  <c r="E13" i="53"/>
  <c r="D13" i="53"/>
  <c r="C13" i="53"/>
  <c r="O12" i="53"/>
  <c r="L12" i="53"/>
  <c r="N12" i="53" s="1"/>
  <c r="K12" i="53"/>
  <c r="J12" i="53"/>
  <c r="E12" i="53"/>
  <c r="D12" i="53"/>
  <c r="C12" i="53"/>
  <c r="O11" i="53"/>
  <c r="L11" i="53"/>
  <c r="N11" i="53" s="1"/>
  <c r="P11" i="53" s="1"/>
  <c r="K11" i="53"/>
  <c r="J11" i="53"/>
  <c r="E11" i="53"/>
  <c r="D11" i="53"/>
  <c r="C11" i="53"/>
  <c r="O10" i="53"/>
  <c r="L10" i="53"/>
  <c r="N10" i="53" s="1"/>
  <c r="P10" i="53" s="1"/>
  <c r="K10" i="53"/>
  <c r="J10" i="53"/>
  <c r="E10" i="53"/>
  <c r="D10" i="53"/>
  <c r="C10" i="53"/>
  <c r="I6" i="53"/>
  <c r="H6" i="53"/>
  <c r="D5" i="53"/>
  <c r="R4" i="53"/>
  <c r="R3" i="53"/>
  <c r="R2" i="53"/>
  <c r="R1" i="53"/>
  <c r="R4" i="52"/>
  <c r="E32" i="52"/>
  <c r="E31" i="52"/>
  <c r="M30" i="52"/>
  <c r="O29" i="52"/>
  <c r="L29" i="52"/>
  <c r="N29" i="52" s="1"/>
  <c r="P29" i="52" s="1"/>
  <c r="K29" i="52"/>
  <c r="J29" i="52"/>
  <c r="E29" i="52"/>
  <c r="D29" i="52"/>
  <c r="C29" i="52"/>
  <c r="O28" i="52"/>
  <c r="L28" i="52"/>
  <c r="N28" i="52" s="1"/>
  <c r="P28" i="52" s="1"/>
  <c r="K28" i="52"/>
  <c r="J28" i="52"/>
  <c r="E28" i="52"/>
  <c r="D28" i="52"/>
  <c r="C28" i="52"/>
  <c r="O27" i="52"/>
  <c r="L27" i="52"/>
  <c r="N27" i="52" s="1"/>
  <c r="P27" i="52" s="1"/>
  <c r="K27" i="52"/>
  <c r="J27" i="52"/>
  <c r="E27" i="52"/>
  <c r="D27" i="52"/>
  <c r="C27" i="52"/>
  <c r="O26" i="52"/>
  <c r="L26" i="52"/>
  <c r="N26" i="52" s="1"/>
  <c r="P26" i="52" s="1"/>
  <c r="K26" i="52"/>
  <c r="J26" i="52"/>
  <c r="E26" i="52"/>
  <c r="D26" i="52"/>
  <c r="C26" i="52"/>
  <c r="O25" i="52"/>
  <c r="L25" i="52"/>
  <c r="N25" i="52" s="1"/>
  <c r="P25" i="52" s="1"/>
  <c r="K25" i="52"/>
  <c r="J25" i="52"/>
  <c r="E25" i="52"/>
  <c r="D25" i="52"/>
  <c r="C25" i="52"/>
  <c r="O24" i="52"/>
  <c r="L24" i="52"/>
  <c r="N24" i="52" s="1"/>
  <c r="P24" i="52" s="1"/>
  <c r="K24" i="52"/>
  <c r="J24" i="52"/>
  <c r="E24" i="52"/>
  <c r="D24" i="52"/>
  <c r="C24" i="52"/>
  <c r="O23" i="52"/>
  <c r="L23" i="52"/>
  <c r="N23" i="52" s="1"/>
  <c r="K23" i="52"/>
  <c r="J23" i="52"/>
  <c r="E23" i="52"/>
  <c r="D23" i="52"/>
  <c r="C23" i="52"/>
  <c r="O22" i="52"/>
  <c r="L22" i="52"/>
  <c r="N22" i="52" s="1"/>
  <c r="K22" i="52"/>
  <c r="J22" i="52"/>
  <c r="E22" i="52"/>
  <c r="D22" i="52"/>
  <c r="C22" i="52"/>
  <c r="O21" i="52"/>
  <c r="L21" i="52"/>
  <c r="N21" i="52" s="1"/>
  <c r="P21" i="52" s="1"/>
  <c r="K21" i="52"/>
  <c r="J21" i="52"/>
  <c r="E21" i="52"/>
  <c r="D21" i="52"/>
  <c r="C21" i="52"/>
  <c r="O20" i="52"/>
  <c r="L20" i="52"/>
  <c r="N20" i="52" s="1"/>
  <c r="K20" i="52"/>
  <c r="J20" i="52"/>
  <c r="E20" i="52"/>
  <c r="D20" i="52"/>
  <c r="C20" i="52"/>
  <c r="O19" i="52"/>
  <c r="L19" i="52"/>
  <c r="N19" i="52" s="1"/>
  <c r="P19" i="52" s="1"/>
  <c r="K19" i="52"/>
  <c r="J19" i="52"/>
  <c r="E19" i="52"/>
  <c r="D19" i="52"/>
  <c r="C19" i="52"/>
  <c r="O18" i="52"/>
  <c r="L18" i="52"/>
  <c r="N18" i="52" s="1"/>
  <c r="K18" i="52"/>
  <c r="J18" i="52"/>
  <c r="E18" i="52"/>
  <c r="D18" i="52"/>
  <c r="C18" i="52"/>
  <c r="O17" i="52"/>
  <c r="N17" i="52"/>
  <c r="P17" i="52" s="1"/>
  <c r="L17" i="52"/>
  <c r="K17" i="52"/>
  <c r="J17" i="52"/>
  <c r="E17" i="52"/>
  <c r="D17" i="52"/>
  <c r="C17" i="52"/>
  <c r="O16" i="52"/>
  <c r="N16" i="52"/>
  <c r="P16" i="52" s="1"/>
  <c r="L16" i="52"/>
  <c r="K16" i="52"/>
  <c r="J16" i="52"/>
  <c r="E16" i="52"/>
  <c r="D16" i="52"/>
  <c r="C16" i="52"/>
  <c r="O15" i="52"/>
  <c r="L15" i="52"/>
  <c r="N15" i="52" s="1"/>
  <c r="P15" i="52" s="1"/>
  <c r="K15" i="52"/>
  <c r="J15" i="52"/>
  <c r="E15" i="52"/>
  <c r="D15" i="52"/>
  <c r="C15" i="52"/>
  <c r="O14" i="52"/>
  <c r="L14" i="52"/>
  <c r="N14" i="52" s="1"/>
  <c r="K14" i="52"/>
  <c r="J14" i="52"/>
  <c r="E14" i="52"/>
  <c r="D14" i="52"/>
  <c r="C14" i="52"/>
  <c r="O13" i="52"/>
  <c r="L13" i="52"/>
  <c r="N13" i="52" s="1"/>
  <c r="P13" i="52" s="1"/>
  <c r="K13" i="52"/>
  <c r="J13" i="52"/>
  <c r="E13" i="52"/>
  <c r="D13" i="52"/>
  <c r="C13" i="52"/>
  <c r="O12" i="52"/>
  <c r="L12" i="52"/>
  <c r="N12" i="52" s="1"/>
  <c r="K12" i="52"/>
  <c r="J12" i="52"/>
  <c r="E12" i="52"/>
  <c r="D12" i="52"/>
  <c r="C12" i="52"/>
  <c r="O11" i="52"/>
  <c r="L11" i="52"/>
  <c r="N11" i="52" s="1"/>
  <c r="P11" i="52" s="1"/>
  <c r="K11" i="52"/>
  <c r="J11" i="52"/>
  <c r="E11" i="52"/>
  <c r="D11" i="52"/>
  <c r="C11" i="52"/>
  <c r="O10" i="52"/>
  <c r="L10" i="52"/>
  <c r="N10" i="52" s="1"/>
  <c r="K10" i="52"/>
  <c r="J10" i="52"/>
  <c r="E10" i="52"/>
  <c r="D10" i="52"/>
  <c r="C10" i="52"/>
  <c r="I6" i="52"/>
  <c r="H6" i="52"/>
  <c r="D5" i="52"/>
  <c r="R3" i="52"/>
  <c r="R2" i="52"/>
  <c r="R1" i="52"/>
  <c r="E32" i="51"/>
  <c r="E31" i="51"/>
  <c r="M30" i="51"/>
  <c r="O29" i="51"/>
  <c r="L29" i="51"/>
  <c r="N29" i="51" s="1"/>
  <c r="P29" i="51" s="1"/>
  <c r="K29" i="51"/>
  <c r="J29" i="51"/>
  <c r="E29" i="51"/>
  <c r="D29" i="51"/>
  <c r="C29" i="51"/>
  <c r="O28" i="51"/>
  <c r="L28" i="51"/>
  <c r="N28" i="51" s="1"/>
  <c r="P28" i="51" s="1"/>
  <c r="K28" i="51"/>
  <c r="J28" i="51"/>
  <c r="E28" i="51"/>
  <c r="D28" i="51"/>
  <c r="C28" i="51"/>
  <c r="O27" i="51"/>
  <c r="L27" i="51"/>
  <c r="N27" i="51" s="1"/>
  <c r="P27" i="51" s="1"/>
  <c r="K27" i="51"/>
  <c r="J27" i="51"/>
  <c r="E27" i="51"/>
  <c r="D27" i="51"/>
  <c r="C27" i="51"/>
  <c r="O26" i="51"/>
  <c r="L26" i="51"/>
  <c r="N26" i="51" s="1"/>
  <c r="K26" i="51"/>
  <c r="J26" i="51"/>
  <c r="E26" i="51"/>
  <c r="D26" i="51"/>
  <c r="C26" i="51"/>
  <c r="O25" i="51"/>
  <c r="L25" i="51"/>
  <c r="N25" i="51" s="1"/>
  <c r="P25" i="51" s="1"/>
  <c r="K25" i="51"/>
  <c r="J25" i="51"/>
  <c r="E25" i="51"/>
  <c r="D25" i="51"/>
  <c r="C25" i="51"/>
  <c r="O24" i="51"/>
  <c r="L24" i="51"/>
  <c r="N24" i="51" s="1"/>
  <c r="P24" i="51" s="1"/>
  <c r="K24" i="51"/>
  <c r="J24" i="51"/>
  <c r="E24" i="51"/>
  <c r="D24" i="51"/>
  <c r="C24" i="51"/>
  <c r="O23" i="51"/>
  <c r="L23" i="51"/>
  <c r="N23" i="51" s="1"/>
  <c r="P23" i="51" s="1"/>
  <c r="K23" i="51"/>
  <c r="J23" i="51"/>
  <c r="E23" i="51"/>
  <c r="D23" i="51"/>
  <c r="C23" i="51"/>
  <c r="O22" i="51"/>
  <c r="L22" i="51"/>
  <c r="N22" i="51" s="1"/>
  <c r="K22" i="51"/>
  <c r="J22" i="51"/>
  <c r="E22" i="51"/>
  <c r="D22" i="51"/>
  <c r="C22" i="51"/>
  <c r="O21" i="51"/>
  <c r="L21" i="51"/>
  <c r="N21" i="51" s="1"/>
  <c r="K21" i="51"/>
  <c r="J21" i="51"/>
  <c r="E21" i="51"/>
  <c r="D21" i="51"/>
  <c r="C21" i="51"/>
  <c r="O20" i="51"/>
  <c r="N20" i="51"/>
  <c r="P20" i="51" s="1"/>
  <c r="L20" i="51"/>
  <c r="K20" i="51"/>
  <c r="J20" i="51"/>
  <c r="E20" i="51"/>
  <c r="D20" i="51"/>
  <c r="C20" i="51"/>
  <c r="O19" i="51"/>
  <c r="N19" i="51"/>
  <c r="P19" i="51" s="1"/>
  <c r="L19" i="51"/>
  <c r="K19" i="51"/>
  <c r="J19" i="51"/>
  <c r="E19" i="51"/>
  <c r="D19" i="51"/>
  <c r="C19" i="51"/>
  <c r="O18" i="51"/>
  <c r="L18" i="51"/>
  <c r="N18" i="51" s="1"/>
  <c r="P18" i="51" s="1"/>
  <c r="K18" i="51"/>
  <c r="J18" i="51"/>
  <c r="E18" i="51"/>
  <c r="D18" i="51"/>
  <c r="C18" i="51"/>
  <c r="O17" i="51"/>
  <c r="L17" i="51"/>
  <c r="N17" i="51" s="1"/>
  <c r="P17" i="51" s="1"/>
  <c r="K17" i="51"/>
  <c r="J17" i="51"/>
  <c r="E17" i="51"/>
  <c r="D17" i="51"/>
  <c r="C17" i="51"/>
  <c r="O16" i="51"/>
  <c r="L16" i="51"/>
  <c r="N16" i="51" s="1"/>
  <c r="K16" i="51"/>
  <c r="J16" i="51"/>
  <c r="E16" i="51"/>
  <c r="D16" i="51"/>
  <c r="C16" i="51"/>
  <c r="O15" i="51"/>
  <c r="L15" i="51"/>
  <c r="N15" i="51" s="1"/>
  <c r="P15" i="51" s="1"/>
  <c r="K15" i="51"/>
  <c r="J15" i="51"/>
  <c r="E15" i="51"/>
  <c r="D15" i="51"/>
  <c r="C15" i="51"/>
  <c r="O14" i="51"/>
  <c r="L14" i="51"/>
  <c r="N14" i="51" s="1"/>
  <c r="P14" i="51" s="1"/>
  <c r="K14" i="51"/>
  <c r="J14" i="51"/>
  <c r="E14" i="51"/>
  <c r="D14" i="51"/>
  <c r="C14" i="51"/>
  <c r="O13" i="51"/>
  <c r="L13" i="51"/>
  <c r="N13" i="51" s="1"/>
  <c r="K13" i="51"/>
  <c r="J13" i="51"/>
  <c r="E13" i="51"/>
  <c r="D13" i="51"/>
  <c r="C13" i="51"/>
  <c r="O12" i="51"/>
  <c r="N12" i="51"/>
  <c r="L12" i="51"/>
  <c r="K12" i="51"/>
  <c r="J12" i="51"/>
  <c r="E12" i="51"/>
  <c r="D12" i="51"/>
  <c r="C12" i="51"/>
  <c r="O11" i="51"/>
  <c r="N11" i="51"/>
  <c r="P11" i="51" s="1"/>
  <c r="L11" i="51"/>
  <c r="K11" i="51"/>
  <c r="J11" i="51"/>
  <c r="E11" i="51"/>
  <c r="D11" i="51"/>
  <c r="C11" i="51"/>
  <c r="O10" i="51"/>
  <c r="L10" i="51"/>
  <c r="N10" i="51" s="1"/>
  <c r="K10" i="51"/>
  <c r="J10" i="51"/>
  <c r="E10" i="51"/>
  <c r="D10" i="51"/>
  <c r="C10" i="51"/>
  <c r="I6" i="51"/>
  <c r="H6" i="51"/>
  <c r="D5" i="51"/>
  <c r="R2" i="51"/>
  <c r="R1" i="51"/>
  <c r="R2" i="50"/>
  <c r="R2" i="49"/>
  <c r="R1" i="49"/>
  <c r="E32" i="50"/>
  <c r="E31" i="50"/>
  <c r="M30" i="50"/>
  <c r="O29" i="50"/>
  <c r="L29" i="50"/>
  <c r="N29" i="50" s="1"/>
  <c r="P29" i="50" s="1"/>
  <c r="K29" i="50"/>
  <c r="J29" i="50"/>
  <c r="E29" i="50"/>
  <c r="D29" i="50"/>
  <c r="C29" i="50"/>
  <c r="O28" i="50"/>
  <c r="L28" i="50"/>
  <c r="N28" i="50" s="1"/>
  <c r="P28" i="50" s="1"/>
  <c r="K28" i="50"/>
  <c r="J28" i="50"/>
  <c r="E28" i="50"/>
  <c r="D28" i="50"/>
  <c r="C28" i="50"/>
  <c r="O27" i="50"/>
  <c r="L27" i="50"/>
  <c r="N27" i="50" s="1"/>
  <c r="P27" i="50" s="1"/>
  <c r="K27" i="50"/>
  <c r="J27" i="50"/>
  <c r="E27" i="50"/>
  <c r="D27" i="50"/>
  <c r="C27" i="50"/>
  <c r="O26" i="50"/>
  <c r="L26" i="50"/>
  <c r="N26" i="50" s="1"/>
  <c r="P26" i="50" s="1"/>
  <c r="K26" i="50"/>
  <c r="J26" i="50"/>
  <c r="E26" i="50"/>
  <c r="D26" i="50"/>
  <c r="C26" i="50"/>
  <c r="O25" i="50"/>
  <c r="L25" i="50"/>
  <c r="N25" i="50" s="1"/>
  <c r="K25" i="50"/>
  <c r="J25" i="50"/>
  <c r="E25" i="50"/>
  <c r="D25" i="50"/>
  <c r="C25" i="50"/>
  <c r="O24" i="50"/>
  <c r="N24" i="50"/>
  <c r="L24" i="50"/>
  <c r="K24" i="50"/>
  <c r="J24" i="50"/>
  <c r="E24" i="50"/>
  <c r="D24" i="50"/>
  <c r="C24" i="50"/>
  <c r="O23" i="50"/>
  <c r="L23" i="50"/>
  <c r="N23" i="50" s="1"/>
  <c r="K23" i="50"/>
  <c r="J23" i="50"/>
  <c r="E23" i="50"/>
  <c r="D23" i="50"/>
  <c r="C23" i="50"/>
  <c r="O22" i="50"/>
  <c r="L22" i="50"/>
  <c r="N22" i="50" s="1"/>
  <c r="P22" i="50" s="1"/>
  <c r="K22" i="50"/>
  <c r="J22" i="50"/>
  <c r="E22" i="50"/>
  <c r="D22" i="50"/>
  <c r="C22" i="50"/>
  <c r="O21" i="50"/>
  <c r="L21" i="50"/>
  <c r="N21" i="50" s="1"/>
  <c r="K21" i="50"/>
  <c r="J21" i="50"/>
  <c r="E21" i="50"/>
  <c r="D21" i="50"/>
  <c r="C21" i="50"/>
  <c r="O20" i="50"/>
  <c r="N20" i="50"/>
  <c r="P20" i="50" s="1"/>
  <c r="L20" i="50"/>
  <c r="K20" i="50"/>
  <c r="J20" i="50"/>
  <c r="E20" i="50"/>
  <c r="D20" i="50"/>
  <c r="C20" i="50"/>
  <c r="O19" i="50"/>
  <c r="N19" i="50"/>
  <c r="P19" i="50" s="1"/>
  <c r="L19" i="50"/>
  <c r="K19" i="50"/>
  <c r="J19" i="50"/>
  <c r="E19" i="50"/>
  <c r="D19" i="50"/>
  <c r="C19" i="50"/>
  <c r="O18" i="50"/>
  <c r="L18" i="50"/>
  <c r="N18" i="50" s="1"/>
  <c r="P18" i="50" s="1"/>
  <c r="K18" i="50"/>
  <c r="J18" i="50"/>
  <c r="E18" i="50"/>
  <c r="D18" i="50"/>
  <c r="C18" i="50"/>
  <c r="O17" i="50"/>
  <c r="L17" i="50"/>
  <c r="N17" i="50" s="1"/>
  <c r="K17" i="50"/>
  <c r="J17" i="50"/>
  <c r="E17" i="50"/>
  <c r="D17" i="50"/>
  <c r="C17" i="50"/>
  <c r="O16" i="50"/>
  <c r="N16" i="50"/>
  <c r="P16" i="50" s="1"/>
  <c r="L16" i="50"/>
  <c r="K16" i="50"/>
  <c r="J16" i="50"/>
  <c r="E16" i="50"/>
  <c r="D16" i="50"/>
  <c r="C16" i="50"/>
  <c r="O15" i="50"/>
  <c r="L15" i="50"/>
  <c r="N15" i="50" s="1"/>
  <c r="P15" i="50" s="1"/>
  <c r="K15" i="50"/>
  <c r="J15" i="50"/>
  <c r="E15" i="50"/>
  <c r="D15" i="50"/>
  <c r="C15" i="50"/>
  <c r="O14" i="50"/>
  <c r="L14" i="50"/>
  <c r="N14" i="50" s="1"/>
  <c r="P14" i="50" s="1"/>
  <c r="K14" i="50"/>
  <c r="J14" i="50"/>
  <c r="E14" i="50"/>
  <c r="D14" i="50"/>
  <c r="C14" i="50"/>
  <c r="O13" i="50"/>
  <c r="L13" i="50"/>
  <c r="N13" i="50" s="1"/>
  <c r="K13" i="50"/>
  <c r="J13" i="50"/>
  <c r="E13" i="50"/>
  <c r="D13" i="50"/>
  <c r="C13" i="50"/>
  <c r="O12" i="50"/>
  <c r="N12" i="50"/>
  <c r="L12" i="50"/>
  <c r="K12" i="50"/>
  <c r="J12" i="50"/>
  <c r="E12" i="50"/>
  <c r="D12" i="50"/>
  <c r="C12" i="50"/>
  <c r="O11" i="50"/>
  <c r="N11" i="50"/>
  <c r="L11" i="50"/>
  <c r="K11" i="50"/>
  <c r="J11" i="50"/>
  <c r="E11" i="50"/>
  <c r="D11" i="50"/>
  <c r="C11" i="50"/>
  <c r="O10" i="50"/>
  <c r="L10" i="50"/>
  <c r="N10" i="50" s="1"/>
  <c r="K10" i="50"/>
  <c r="J10" i="50"/>
  <c r="E10" i="50"/>
  <c r="D10" i="50"/>
  <c r="C10" i="50"/>
  <c r="I6" i="50"/>
  <c r="H6" i="50"/>
  <c r="D5" i="50"/>
  <c r="R1" i="50"/>
  <c r="E32" i="49"/>
  <c r="E31" i="49"/>
  <c r="M30" i="49"/>
  <c r="O29" i="49"/>
  <c r="L29" i="49"/>
  <c r="N29" i="49" s="1"/>
  <c r="P29" i="49" s="1"/>
  <c r="K29" i="49"/>
  <c r="J29" i="49"/>
  <c r="E29" i="49"/>
  <c r="D29" i="49"/>
  <c r="C29" i="49"/>
  <c r="O28" i="49"/>
  <c r="L28" i="49"/>
  <c r="N28" i="49" s="1"/>
  <c r="P28" i="49" s="1"/>
  <c r="K28" i="49"/>
  <c r="J28" i="49"/>
  <c r="E28" i="49"/>
  <c r="D28" i="49"/>
  <c r="C28" i="49"/>
  <c r="O27" i="49"/>
  <c r="L27" i="49"/>
  <c r="N27" i="49" s="1"/>
  <c r="P27" i="49" s="1"/>
  <c r="K27" i="49"/>
  <c r="J27" i="49"/>
  <c r="E27" i="49"/>
  <c r="D27" i="49"/>
  <c r="C27" i="49"/>
  <c r="O26" i="49"/>
  <c r="L26" i="49"/>
  <c r="N26" i="49" s="1"/>
  <c r="P26" i="49" s="1"/>
  <c r="K26" i="49"/>
  <c r="J26" i="49"/>
  <c r="E26" i="49"/>
  <c r="D26" i="49"/>
  <c r="C26" i="49"/>
  <c r="O25" i="49"/>
  <c r="L25" i="49"/>
  <c r="N25" i="49" s="1"/>
  <c r="P25" i="49" s="1"/>
  <c r="K25" i="49"/>
  <c r="J25" i="49"/>
  <c r="E25" i="49"/>
  <c r="D25" i="49"/>
  <c r="C25" i="49"/>
  <c r="O24" i="49"/>
  <c r="L24" i="49"/>
  <c r="N24" i="49" s="1"/>
  <c r="K24" i="49"/>
  <c r="J24" i="49"/>
  <c r="E24" i="49"/>
  <c r="D24" i="49"/>
  <c r="C24" i="49"/>
  <c r="O23" i="49"/>
  <c r="L23" i="49"/>
  <c r="N23" i="49" s="1"/>
  <c r="P23" i="49" s="1"/>
  <c r="K23" i="49"/>
  <c r="J23" i="49"/>
  <c r="E23" i="49"/>
  <c r="D23" i="49"/>
  <c r="C23" i="49"/>
  <c r="O22" i="49"/>
  <c r="L22" i="49"/>
  <c r="N22" i="49" s="1"/>
  <c r="K22" i="49"/>
  <c r="J22" i="49"/>
  <c r="E22" i="49"/>
  <c r="D22" i="49"/>
  <c r="C22" i="49"/>
  <c r="O21" i="49"/>
  <c r="L21" i="49"/>
  <c r="N21" i="49" s="1"/>
  <c r="K21" i="49"/>
  <c r="J21" i="49"/>
  <c r="E21" i="49"/>
  <c r="D21" i="49"/>
  <c r="C21" i="49"/>
  <c r="O20" i="49"/>
  <c r="L20" i="49"/>
  <c r="N20" i="49" s="1"/>
  <c r="P20" i="49" s="1"/>
  <c r="K20" i="49"/>
  <c r="J20" i="49"/>
  <c r="E20" i="49"/>
  <c r="D20" i="49"/>
  <c r="C20" i="49"/>
  <c r="O19" i="49"/>
  <c r="L19" i="49"/>
  <c r="N19" i="49" s="1"/>
  <c r="P19" i="49" s="1"/>
  <c r="K19" i="49"/>
  <c r="J19" i="49"/>
  <c r="E19" i="49"/>
  <c r="D19" i="49"/>
  <c r="C19" i="49"/>
  <c r="O18" i="49"/>
  <c r="L18" i="49"/>
  <c r="N18" i="49" s="1"/>
  <c r="P18" i="49" s="1"/>
  <c r="K18" i="49"/>
  <c r="J18" i="49"/>
  <c r="E18" i="49"/>
  <c r="D18" i="49"/>
  <c r="C18" i="49"/>
  <c r="O17" i="49"/>
  <c r="L17" i="49"/>
  <c r="N17" i="49" s="1"/>
  <c r="P17" i="49" s="1"/>
  <c r="K17" i="49"/>
  <c r="J17" i="49"/>
  <c r="E17" i="49"/>
  <c r="D17" i="49"/>
  <c r="C17" i="49"/>
  <c r="O16" i="49"/>
  <c r="L16" i="49"/>
  <c r="N16" i="49" s="1"/>
  <c r="K16" i="49"/>
  <c r="J16" i="49"/>
  <c r="E16" i="49"/>
  <c r="D16" i="49"/>
  <c r="C16" i="49"/>
  <c r="O15" i="49"/>
  <c r="L15" i="49"/>
  <c r="N15" i="49" s="1"/>
  <c r="P15" i="49" s="1"/>
  <c r="K15" i="49"/>
  <c r="J15" i="49"/>
  <c r="E15" i="49"/>
  <c r="D15" i="49"/>
  <c r="C15" i="49"/>
  <c r="O14" i="49"/>
  <c r="L14" i="49"/>
  <c r="N14" i="49" s="1"/>
  <c r="P14" i="49" s="1"/>
  <c r="K14" i="49"/>
  <c r="J14" i="49"/>
  <c r="E14" i="49"/>
  <c r="D14" i="49"/>
  <c r="C14" i="49"/>
  <c r="O13" i="49"/>
  <c r="L13" i="49"/>
  <c r="N13" i="49" s="1"/>
  <c r="P13" i="49" s="1"/>
  <c r="K13" i="49"/>
  <c r="J13" i="49"/>
  <c r="E13" i="49"/>
  <c r="D13" i="49"/>
  <c r="C13" i="49"/>
  <c r="O12" i="49"/>
  <c r="L12" i="49"/>
  <c r="N12" i="49" s="1"/>
  <c r="P12" i="49" s="1"/>
  <c r="K12" i="49"/>
  <c r="J12" i="49"/>
  <c r="E12" i="49"/>
  <c r="D12" i="49"/>
  <c r="C12" i="49"/>
  <c r="O11" i="49"/>
  <c r="L11" i="49"/>
  <c r="N11" i="49" s="1"/>
  <c r="P11" i="49" s="1"/>
  <c r="K11" i="49"/>
  <c r="J11" i="49"/>
  <c r="E11" i="49"/>
  <c r="D11" i="49"/>
  <c r="C11" i="49"/>
  <c r="O10" i="49"/>
  <c r="L10" i="49"/>
  <c r="K10" i="49"/>
  <c r="J10" i="49"/>
  <c r="E10" i="49"/>
  <c r="D10" i="49"/>
  <c r="C10" i="49"/>
  <c r="I6" i="49"/>
  <c r="H6" i="49"/>
  <c r="D5" i="49"/>
  <c r="R1" i="47"/>
  <c r="AN8" i="1"/>
  <c r="AT8" i="1" s="1"/>
  <c r="W39" i="1" s="1"/>
  <c r="AO10" i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G28" i="62"/>
  <c r="A24" i="62"/>
  <c r="G20" i="62"/>
  <c r="A16" i="62"/>
  <c r="A29" i="62"/>
  <c r="G25" i="62"/>
  <c r="A21" i="62"/>
  <c r="G17" i="62"/>
  <c r="A26" i="62"/>
  <c r="G22" i="62"/>
  <c r="A18" i="62"/>
  <c r="A27" i="62"/>
  <c r="G23" i="62"/>
  <c r="G27" i="62"/>
  <c r="A23" i="62"/>
  <c r="G19" i="62"/>
  <c r="A15" i="62"/>
  <c r="G14" i="62"/>
  <c r="A13" i="62"/>
  <c r="G12" i="62"/>
  <c r="A11" i="62"/>
  <c r="G10" i="62"/>
  <c r="A22" i="62"/>
  <c r="A19" i="62"/>
  <c r="G15" i="62"/>
  <c r="A14" i="62"/>
  <c r="G13" i="62"/>
  <c r="A12" i="62"/>
  <c r="G11" i="62"/>
  <c r="A10" i="62"/>
  <c r="A28" i="62"/>
  <c r="G24" i="62"/>
  <c r="A20" i="62"/>
  <c r="G16" i="62"/>
  <c r="G29" i="62"/>
  <c r="A25" i="62"/>
  <c r="G21" i="62"/>
  <c r="A17" i="62"/>
  <c r="G26" i="62"/>
  <c r="G18" i="62"/>
  <c r="G28" i="61"/>
  <c r="A24" i="61"/>
  <c r="G20" i="61"/>
  <c r="A16" i="61"/>
  <c r="A14" i="61"/>
  <c r="G11" i="61"/>
  <c r="A29" i="61"/>
  <c r="G25" i="61"/>
  <c r="A21" i="61"/>
  <c r="G17" i="61"/>
  <c r="G26" i="61"/>
  <c r="A27" i="61"/>
  <c r="A26" i="61"/>
  <c r="G22" i="61"/>
  <c r="A18" i="61"/>
  <c r="G14" i="61"/>
  <c r="A13" i="61"/>
  <c r="G12" i="61"/>
  <c r="A11" i="61"/>
  <c r="G10" i="61"/>
  <c r="G23" i="61"/>
  <c r="G27" i="61"/>
  <c r="A23" i="61"/>
  <c r="G19" i="61"/>
  <c r="A15" i="61"/>
  <c r="G18" i="61"/>
  <c r="A10" i="61"/>
  <c r="A28" i="61"/>
  <c r="G24" i="61"/>
  <c r="A20" i="61"/>
  <c r="G16" i="61"/>
  <c r="G29" i="61"/>
  <c r="A25" i="61"/>
  <c r="G21" i="61"/>
  <c r="A17" i="61"/>
  <c r="A22" i="61"/>
  <c r="G13" i="61"/>
  <c r="A12" i="61"/>
  <c r="A19" i="61"/>
  <c r="G15" i="61"/>
  <c r="G28" i="60"/>
  <c r="A24" i="60"/>
  <c r="G20" i="60"/>
  <c r="A16" i="60"/>
  <c r="A28" i="60"/>
  <c r="A20" i="60"/>
  <c r="G16" i="60"/>
  <c r="A25" i="60"/>
  <c r="A17" i="60"/>
  <c r="A14" i="60"/>
  <c r="G23" i="60"/>
  <c r="A19" i="60"/>
  <c r="A29" i="60"/>
  <c r="G25" i="60"/>
  <c r="A21" i="60"/>
  <c r="G17" i="60"/>
  <c r="A13" i="60"/>
  <c r="G12" i="60"/>
  <c r="A11" i="60"/>
  <c r="G10" i="60"/>
  <c r="A22" i="60"/>
  <c r="G18" i="60"/>
  <c r="A26" i="60"/>
  <c r="G22" i="60"/>
  <c r="A18" i="60"/>
  <c r="G14" i="60"/>
  <c r="G24" i="60"/>
  <c r="G29" i="60"/>
  <c r="G13" i="60"/>
  <c r="A12" i="60"/>
  <c r="G26" i="60"/>
  <c r="G15" i="60"/>
  <c r="G27" i="60"/>
  <c r="A23" i="60"/>
  <c r="G19" i="60"/>
  <c r="A15" i="60"/>
  <c r="G21" i="60"/>
  <c r="G11" i="60"/>
  <c r="A10" i="60"/>
  <c r="A27" i="60"/>
  <c r="G28" i="59"/>
  <c r="A24" i="59"/>
  <c r="G20" i="59"/>
  <c r="A16" i="59"/>
  <c r="G12" i="59"/>
  <c r="A11" i="59"/>
  <c r="G10" i="59"/>
  <c r="A25" i="59"/>
  <c r="A22" i="59"/>
  <c r="G15" i="59"/>
  <c r="A29" i="59"/>
  <c r="G25" i="59"/>
  <c r="A21" i="59"/>
  <c r="G17" i="59"/>
  <c r="A13" i="59"/>
  <c r="A28" i="59"/>
  <c r="G11" i="59"/>
  <c r="A10" i="59"/>
  <c r="A17" i="59"/>
  <c r="G13" i="59"/>
  <c r="G18" i="59"/>
  <c r="A26" i="59"/>
  <c r="G22" i="59"/>
  <c r="A18" i="59"/>
  <c r="G14" i="59"/>
  <c r="G24" i="59"/>
  <c r="A12" i="59"/>
  <c r="G21" i="59"/>
  <c r="G26" i="59"/>
  <c r="A14" i="59"/>
  <c r="A27" i="59"/>
  <c r="A19" i="59"/>
  <c r="G27" i="59"/>
  <c r="A23" i="59"/>
  <c r="G19" i="59"/>
  <c r="A15" i="59"/>
  <c r="A20" i="59"/>
  <c r="G16" i="59"/>
  <c r="G29" i="59"/>
  <c r="G23" i="59"/>
  <c r="G28" i="58"/>
  <c r="A24" i="58"/>
  <c r="G20" i="58"/>
  <c r="A16" i="58"/>
  <c r="G12" i="58"/>
  <c r="G26" i="58"/>
  <c r="A22" i="58"/>
  <c r="G15" i="58"/>
  <c r="A29" i="58"/>
  <c r="G25" i="58"/>
  <c r="A21" i="58"/>
  <c r="G17" i="58"/>
  <c r="A13" i="58"/>
  <c r="A11" i="58"/>
  <c r="A26" i="58"/>
  <c r="G22" i="58"/>
  <c r="A18" i="58"/>
  <c r="G14" i="58"/>
  <c r="A14" i="58"/>
  <c r="G10" i="58"/>
  <c r="G27" i="58"/>
  <c r="A23" i="58"/>
  <c r="G19" i="58"/>
  <c r="A15" i="58"/>
  <c r="G11" i="58"/>
  <c r="A10" i="58"/>
  <c r="A28" i="58"/>
  <c r="G24" i="58"/>
  <c r="A20" i="58"/>
  <c r="G16" i="58"/>
  <c r="A12" i="58"/>
  <c r="G18" i="58"/>
  <c r="A27" i="58"/>
  <c r="G23" i="58"/>
  <c r="G29" i="58"/>
  <c r="A25" i="58"/>
  <c r="G21" i="58"/>
  <c r="A17" i="58"/>
  <c r="G13" i="58"/>
  <c r="A19" i="58"/>
  <c r="G28" i="57"/>
  <c r="A24" i="57"/>
  <c r="G20" i="57"/>
  <c r="A16" i="57"/>
  <c r="A29" i="57"/>
  <c r="G25" i="57"/>
  <c r="A21" i="57"/>
  <c r="G17" i="57"/>
  <c r="A13" i="57"/>
  <c r="A27" i="57"/>
  <c r="G12" i="57"/>
  <c r="A26" i="57"/>
  <c r="G22" i="57"/>
  <c r="A18" i="57"/>
  <c r="G14" i="57"/>
  <c r="A10" i="57"/>
  <c r="G27" i="57"/>
  <c r="A23" i="57"/>
  <c r="G19" i="57"/>
  <c r="A15" i="57"/>
  <c r="G11" i="57"/>
  <c r="A28" i="57"/>
  <c r="G24" i="57"/>
  <c r="A20" i="57"/>
  <c r="G16" i="57"/>
  <c r="A12" i="57"/>
  <c r="A11" i="57"/>
  <c r="G29" i="57"/>
  <c r="A25" i="57"/>
  <c r="G21" i="57"/>
  <c r="A17" i="57"/>
  <c r="G13" i="57"/>
  <c r="G23" i="57"/>
  <c r="A19" i="57"/>
  <c r="G15" i="57"/>
  <c r="G26" i="57"/>
  <c r="A22" i="57"/>
  <c r="G18" i="57"/>
  <c r="A14" i="57"/>
  <c r="G10" i="57"/>
  <c r="G28" i="56"/>
  <c r="A24" i="56"/>
  <c r="G20" i="56"/>
  <c r="A16" i="56"/>
  <c r="G12" i="56"/>
  <c r="A29" i="56"/>
  <c r="G25" i="56"/>
  <c r="A21" i="56"/>
  <c r="G17" i="56"/>
  <c r="A13" i="56"/>
  <c r="G24" i="56"/>
  <c r="A12" i="56"/>
  <c r="G29" i="56"/>
  <c r="A17" i="56"/>
  <c r="A26" i="56"/>
  <c r="G22" i="56"/>
  <c r="A18" i="56"/>
  <c r="G14" i="56"/>
  <c r="A10" i="56"/>
  <c r="A28" i="56"/>
  <c r="A20" i="56"/>
  <c r="G16" i="56"/>
  <c r="G13" i="56"/>
  <c r="G27" i="56"/>
  <c r="A23" i="56"/>
  <c r="G19" i="56"/>
  <c r="A15" i="56"/>
  <c r="G11" i="56"/>
  <c r="A25" i="56"/>
  <c r="G21" i="56"/>
  <c r="G26" i="56"/>
  <c r="A22" i="56"/>
  <c r="G18" i="56"/>
  <c r="A14" i="56"/>
  <c r="G10" i="56"/>
  <c r="A27" i="56"/>
  <c r="G23" i="56"/>
  <c r="A19" i="56"/>
  <c r="G15" i="56"/>
  <c r="A11" i="56"/>
  <c r="G28" i="55"/>
  <c r="A24" i="55"/>
  <c r="G20" i="55"/>
  <c r="A16" i="55"/>
  <c r="G12" i="55"/>
  <c r="A29" i="55"/>
  <c r="G25" i="55"/>
  <c r="A21" i="55"/>
  <c r="G17" i="55"/>
  <c r="A13" i="55"/>
  <c r="G13" i="55"/>
  <c r="A26" i="55"/>
  <c r="G22" i="55"/>
  <c r="A18" i="55"/>
  <c r="G14" i="55"/>
  <c r="A10" i="55"/>
  <c r="G21" i="55"/>
  <c r="G27" i="55"/>
  <c r="A23" i="55"/>
  <c r="G19" i="55"/>
  <c r="A15" i="55"/>
  <c r="G11" i="55"/>
  <c r="A25" i="55"/>
  <c r="A17" i="55"/>
  <c r="A28" i="55"/>
  <c r="G24" i="55"/>
  <c r="A20" i="55"/>
  <c r="G16" i="55"/>
  <c r="A12" i="55"/>
  <c r="G29" i="55"/>
  <c r="G26" i="55"/>
  <c r="A22" i="55"/>
  <c r="G18" i="55"/>
  <c r="A14" i="55"/>
  <c r="G10" i="55"/>
  <c r="A27" i="55"/>
  <c r="G23" i="55"/>
  <c r="A19" i="55"/>
  <c r="G15" i="55"/>
  <c r="A11" i="55"/>
  <c r="G28" i="54"/>
  <c r="A24" i="54"/>
  <c r="G20" i="54"/>
  <c r="A16" i="54"/>
  <c r="G12" i="54"/>
  <c r="G27" i="54"/>
  <c r="A23" i="54"/>
  <c r="G19" i="54"/>
  <c r="G11" i="54"/>
  <c r="A19" i="54"/>
  <c r="G15" i="54"/>
  <c r="A29" i="54"/>
  <c r="G25" i="54"/>
  <c r="A21" i="54"/>
  <c r="G17" i="54"/>
  <c r="A13" i="54"/>
  <c r="G10" i="54"/>
  <c r="A26" i="54"/>
  <c r="G22" i="54"/>
  <c r="A18" i="54"/>
  <c r="G14" i="54"/>
  <c r="A10" i="54"/>
  <c r="A15" i="54"/>
  <c r="A27" i="54"/>
  <c r="A14" i="54"/>
  <c r="A11" i="54"/>
  <c r="A28" i="54"/>
  <c r="G24" i="54"/>
  <c r="A20" i="54"/>
  <c r="G16" i="54"/>
  <c r="A12" i="54"/>
  <c r="G29" i="54"/>
  <c r="A25" i="54"/>
  <c r="G21" i="54"/>
  <c r="A17" i="54"/>
  <c r="G13" i="54"/>
  <c r="G26" i="54"/>
  <c r="A22" i="54"/>
  <c r="G18" i="54"/>
  <c r="G23" i="54"/>
  <c r="G28" i="53"/>
  <c r="A24" i="53"/>
  <c r="G20" i="53"/>
  <c r="A16" i="53"/>
  <c r="G12" i="53"/>
  <c r="G26" i="53"/>
  <c r="A14" i="53"/>
  <c r="G15" i="53"/>
  <c r="A29" i="53"/>
  <c r="G25" i="53"/>
  <c r="A21" i="53"/>
  <c r="G17" i="53"/>
  <c r="A13" i="53"/>
  <c r="G18" i="53"/>
  <c r="A26" i="53"/>
  <c r="G22" i="53"/>
  <c r="A18" i="53"/>
  <c r="G14" i="53"/>
  <c r="A10" i="53"/>
  <c r="G21" i="53"/>
  <c r="A27" i="53"/>
  <c r="G23" i="53"/>
  <c r="G27" i="53"/>
  <c r="A23" i="53"/>
  <c r="G19" i="53"/>
  <c r="A15" i="53"/>
  <c r="G11" i="53"/>
  <c r="G29" i="53"/>
  <c r="A25" i="53"/>
  <c r="A17" i="53"/>
  <c r="A19" i="53"/>
  <c r="A28" i="53"/>
  <c r="G24" i="53"/>
  <c r="A20" i="53"/>
  <c r="G16" i="53"/>
  <c r="A12" i="53"/>
  <c r="G13" i="53"/>
  <c r="A22" i="53"/>
  <c r="G10" i="53"/>
  <c r="A11" i="53"/>
  <c r="G28" i="52"/>
  <c r="A24" i="52"/>
  <c r="G20" i="52"/>
  <c r="A16" i="52"/>
  <c r="G12" i="52"/>
  <c r="A28" i="52"/>
  <c r="A29" i="52"/>
  <c r="G25" i="52"/>
  <c r="A21" i="52"/>
  <c r="G17" i="52"/>
  <c r="A13" i="52"/>
  <c r="A12" i="52"/>
  <c r="A25" i="52"/>
  <c r="A17" i="52"/>
  <c r="G13" i="52"/>
  <c r="A26" i="52"/>
  <c r="G22" i="52"/>
  <c r="A18" i="52"/>
  <c r="G14" i="52"/>
  <c r="A10" i="52"/>
  <c r="G24" i="52"/>
  <c r="G16" i="52"/>
  <c r="G21" i="52"/>
  <c r="G27" i="52"/>
  <c r="A23" i="52"/>
  <c r="G19" i="52"/>
  <c r="A15" i="52"/>
  <c r="G11" i="52"/>
  <c r="A20" i="52"/>
  <c r="G29" i="52"/>
  <c r="G26" i="52"/>
  <c r="A22" i="52"/>
  <c r="G18" i="52"/>
  <c r="A14" i="52"/>
  <c r="G10" i="52"/>
  <c r="A27" i="52"/>
  <c r="G23" i="52"/>
  <c r="A19" i="52"/>
  <c r="G15" i="52"/>
  <c r="A11" i="52"/>
  <c r="G28" i="51"/>
  <c r="A24" i="51"/>
  <c r="G20" i="51"/>
  <c r="A16" i="51"/>
  <c r="G12" i="51"/>
  <c r="A19" i="51"/>
  <c r="A29" i="51"/>
  <c r="G25" i="51"/>
  <c r="A21" i="51"/>
  <c r="G17" i="51"/>
  <c r="A13" i="51"/>
  <c r="G15" i="51"/>
  <c r="A26" i="51"/>
  <c r="G22" i="51"/>
  <c r="A18" i="51"/>
  <c r="G14" i="51"/>
  <c r="A10" i="51"/>
  <c r="G23" i="51"/>
  <c r="G27" i="51"/>
  <c r="A23" i="51"/>
  <c r="G19" i="51"/>
  <c r="A15" i="51"/>
  <c r="G11" i="51"/>
  <c r="A27" i="51"/>
  <c r="A28" i="51"/>
  <c r="G24" i="51"/>
  <c r="A20" i="51"/>
  <c r="G16" i="51"/>
  <c r="A12" i="51"/>
  <c r="A11" i="51"/>
  <c r="G29" i="51"/>
  <c r="A25" i="51"/>
  <c r="G21" i="51"/>
  <c r="A17" i="51"/>
  <c r="G13" i="51"/>
  <c r="G26" i="51"/>
  <c r="A22" i="51"/>
  <c r="G18" i="51"/>
  <c r="A14" i="51"/>
  <c r="G10" i="51"/>
  <c r="G28" i="50"/>
  <c r="A24" i="50"/>
  <c r="G20" i="50"/>
  <c r="A16" i="50"/>
  <c r="G12" i="50"/>
  <c r="A27" i="50"/>
  <c r="G23" i="50"/>
  <c r="A29" i="50"/>
  <c r="G25" i="50"/>
  <c r="A21" i="50"/>
  <c r="G17" i="50"/>
  <c r="A13" i="50"/>
  <c r="A11" i="50"/>
  <c r="A26" i="50"/>
  <c r="G22" i="50"/>
  <c r="A18" i="50"/>
  <c r="G14" i="50"/>
  <c r="A10" i="50"/>
  <c r="G27" i="50"/>
  <c r="A23" i="50"/>
  <c r="G19" i="50"/>
  <c r="A15" i="50"/>
  <c r="G11" i="50"/>
  <c r="A28" i="50"/>
  <c r="G24" i="50"/>
  <c r="A20" i="50"/>
  <c r="G16" i="50"/>
  <c r="A12" i="50"/>
  <c r="A19" i="50"/>
  <c r="G29" i="50"/>
  <c r="A25" i="50"/>
  <c r="G21" i="50"/>
  <c r="A17" i="50"/>
  <c r="G13" i="50"/>
  <c r="G26" i="50"/>
  <c r="A22" i="50"/>
  <c r="G18" i="50"/>
  <c r="A14" i="50"/>
  <c r="G10" i="50"/>
  <c r="G15" i="50"/>
  <c r="G28" i="49"/>
  <c r="A24" i="49"/>
  <c r="G20" i="49"/>
  <c r="A16" i="49"/>
  <c r="G13" i="49"/>
  <c r="A29" i="49"/>
  <c r="G25" i="49"/>
  <c r="A21" i="49"/>
  <c r="G17" i="49"/>
  <c r="A14" i="49"/>
  <c r="A26" i="49"/>
  <c r="G22" i="49"/>
  <c r="A18" i="49"/>
  <c r="G21" i="49"/>
  <c r="G15" i="49"/>
  <c r="G27" i="49"/>
  <c r="A23" i="49"/>
  <c r="G19" i="49"/>
  <c r="A15" i="49"/>
  <c r="G14" i="49"/>
  <c r="A13" i="49"/>
  <c r="G12" i="49"/>
  <c r="A11" i="49"/>
  <c r="G10" i="49"/>
  <c r="G29" i="49"/>
  <c r="A25" i="49"/>
  <c r="A17" i="49"/>
  <c r="A28" i="49"/>
  <c r="G24" i="49"/>
  <c r="A20" i="49"/>
  <c r="G16" i="49"/>
  <c r="G26" i="49"/>
  <c r="A22" i="49"/>
  <c r="G18" i="49"/>
  <c r="A27" i="49"/>
  <c r="G23" i="49"/>
  <c r="A19" i="49"/>
  <c r="A12" i="49"/>
  <c r="G11" i="49"/>
  <c r="A10" i="49"/>
  <c r="P18" i="62" l="1"/>
  <c r="O30" i="62"/>
  <c r="P26" i="62"/>
  <c r="P16" i="62"/>
  <c r="P25" i="62"/>
  <c r="P23" i="62"/>
  <c r="P21" i="62"/>
  <c r="N30" i="62"/>
  <c r="L30" i="62"/>
  <c r="P10" i="62"/>
  <c r="P30" i="62" s="1"/>
  <c r="P20" i="61"/>
  <c r="P18" i="61"/>
  <c r="P24" i="61"/>
  <c r="P16" i="61"/>
  <c r="P28" i="61"/>
  <c r="P14" i="61"/>
  <c r="P15" i="61"/>
  <c r="P26" i="61"/>
  <c r="L30" i="61"/>
  <c r="O30" i="61"/>
  <c r="P22" i="61"/>
  <c r="N10" i="61"/>
  <c r="P13" i="60"/>
  <c r="P22" i="60"/>
  <c r="P24" i="60"/>
  <c r="P12" i="60"/>
  <c r="P21" i="60"/>
  <c r="O30" i="60"/>
  <c r="P15" i="60"/>
  <c r="P25" i="60"/>
  <c r="P11" i="60"/>
  <c r="N30" i="60"/>
  <c r="P10" i="60"/>
  <c r="L30" i="60"/>
  <c r="P17" i="59"/>
  <c r="P15" i="59"/>
  <c r="P26" i="59"/>
  <c r="P12" i="59"/>
  <c r="O30" i="59"/>
  <c r="P23" i="59"/>
  <c r="P10" i="59"/>
  <c r="P30" i="59" s="1"/>
  <c r="R12" i="59" s="1"/>
  <c r="M6" i="59" s="1"/>
  <c r="N30" i="59"/>
  <c r="L30" i="59"/>
  <c r="P16" i="58"/>
  <c r="P26" i="58"/>
  <c r="P25" i="58"/>
  <c r="P22" i="58"/>
  <c r="P23" i="58"/>
  <c r="O30" i="58"/>
  <c r="P21" i="58"/>
  <c r="L30" i="58"/>
  <c r="N14" i="58"/>
  <c r="P14" i="58" s="1"/>
  <c r="P21" i="57"/>
  <c r="P14" i="57"/>
  <c r="P28" i="57"/>
  <c r="P24" i="57"/>
  <c r="P13" i="57"/>
  <c r="P26" i="57"/>
  <c r="P23" i="57"/>
  <c r="O30" i="57"/>
  <c r="P11" i="57"/>
  <c r="N10" i="57"/>
  <c r="P10" i="57" s="1"/>
  <c r="P15" i="56"/>
  <c r="P12" i="56"/>
  <c r="O30" i="56"/>
  <c r="P24" i="56"/>
  <c r="P23" i="56"/>
  <c r="P18" i="56"/>
  <c r="P20" i="56"/>
  <c r="P22" i="56"/>
  <c r="P10" i="56"/>
  <c r="N30" i="56"/>
  <c r="L30" i="56"/>
  <c r="P13" i="55"/>
  <c r="P16" i="55"/>
  <c r="P30" i="55" s="1"/>
  <c r="M6" i="55" s="1"/>
  <c r="P28" i="55"/>
  <c r="O30" i="55"/>
  <c r="P22" i="55"/>
  <c r="P25" i="55"/>
  <c r="P26" i="55"/>
  <c r="P27" i="55"/>
  <c r="P24" i="55"/>
  <c r="P20" i="55"/>
  <c r="L30" i="55"/>
  <c r="N10" i="55"/>
  <c r="P10" i="55" s="1"/>
  <c r="N30" i="55"/>
  <c r="P20" i="54"/>
  <c r="P14" i="54"/>
  <c r="P28" i="54"/>
  <c r="P13" i="54"/>
  <c r="P16" i="54"/>
  <c r="P26" i="54"/>
  <c r="P27" i="54"/>
  <c r="P24" i="54"/>
  <c r="P22" i="54"/>
  <c r="O30" i="54"/>
  <c r="P10" i="54"/>
  <c r="P30" i="54" s="1"/>
  <c r="M6" i="54" s="1"/>
  <c r="N30" i="54"/>
  <c r="L30" i="54"/>
  <c r="O30" i="53"/>
  <c r="P20" i="53"/>
  <c r="P16" i="53"/>
  <c r="P26" i="53"/>
  <c r="P24" i="53"/>
  <c r="P12" i="53"/>
  <c r="P25" i="53"/>
  <c r="P23" i="53"/>
  <c r="L30" i="53"/>
  <c r="N14" i="53"/>
  <c r="P14" i="53" s="1"/>
  <c r="N30" i="53"/>
  <c r="P14" i="52"/>
  <c r="P12" i="52"/>
  <c r="P23" i="52"/>
  <c r="P22" i="52"/>
  <c r="O30" i="52"/>
  <c r="P18" i="52"/>
  <c r="P20" i="52"/>
  <c r="P10" i="52"/>
  <c r="P30" i="52" s="1"/>
  <c r="N30" i="52"/>
  <c r="L30" i="52"/>
  <c r="P12" i="51"/>
  <c r="P22" i="51"/>
  <c r="O30" i="51"/>
  <c r="P21" i="51"/>
  <c r="P16" i="51"/>
  <c r="P26" i="51"/>
  <c r="P13" i="51"/>
  <c r="P17" i="50"/>
  <c r="P13" i="50"/>
  <c r="P25" i="50"/>
  <c r="P12" i="50"/>
  <c r="P23" i="50"/>
  <c r="P24" i="50"/>
  <c r="O30" i="50"/>
  <c r="P21" i="50"/>
  <c r="P11" i="50"/>
  <c r="P10" i="51"/>
  <c r="P30" i="51" s="1"/>
  <c r="N30" i="51"/>
  <c r="L30" i="51"/>
  <c r="P10" i="50"/>
  <c r="N30" i="50"/>
  <c r="L30" i="50"/>
  <c r="P16" i="49"/>
  <c r="P24" i="49"/>
  <c r="L30" i="49"/>
  <c r="P22" i="49"/>
  <c r="P21" i="49"/>
  <c r="O30" i="49"/>
  <c r="N10" i="49"/>
  <c r="P10" i="49" s="1"/>
  <c r="P30" i="49" s="1"/>
  <c r="N30" i="49"/>
  <c r="AU8" i="1"/>
  <c r="X39" i="1" s="1"/>
  <c r="AV8" i="1"/>
  <c r="Y39" i="1" s="1"/>
  <c r="AO8" i="1"/>
  <c r="R39" i="1" s="1"/>
  <c r="AW8" i="1"/>
  <c r="Z39" i="1" s="1"/>
  <c r="AP8" i="1"/>
  <c r="S39" i="1" s="1"/>
  <c r="AX8" i="1"/>
  <c r="AA39" i="1" s="1"/>
  <c r="AQ8" i="1"/>
  <c r="T39" i="1" s="1"/>
  <c r="AY8" i="1"/>
  <c r="AB39" i="1" s="1"/>
  <c r="AR8" i="1"/>
  <c r="U39" i="1" s="1"/>
  <c r="AS8" i="1"/>
  <c r="V39" i="1" s="1"/>
  <c r="R15" i="62" l="1"/>
  <c r="M6" i="62" s="1"/>
  <c r="N30" i="61"/>
  <c r="P10" i="61"/>
  <c r="P30" i="61" s="1"/>
  <c r="M6" i="61" s="1"/>
  <c r="P30" i="60"/>
  <c r="M6" i="60" s="1"/>
  <c r="P30" i="58"/>
  <c r="M6" i="58" s="1"/>
  <c r="N30" i="58"/>
  <c r="P30" i="57"/>
  <c r="M6" i="57" s="1"/>
  <c r="N30" i="57"/>
  <c r="P30" i="56"/>
  <c r="M6" i="56" s="1"/>
  <c r="P30" i="53"/>
  <c r="M6" i="53" s="1"/>
  <c r="R5" i="47"/>
  <c r="R5" i="49"/>
  <c r="R5" i="50"/>
  <c r="R5" i="51"/>
  <c r="R5" i="52"/>
  <c r="M6" i="52" s="1"/>
  <c r="R4" i="47"/>
  <c r="R4" i="49"/>
  <c r="R4" i="50"/>
  <c r="R4" i="51"/>
  <c r="P30" i="50"/>
  <c r="R3" i="49"/>
  <c r="R3" i="47"/>
  <c r="R3" i="50"/>
  <c r="R2" i="47"/>
  <c r="M6" i="50" l="1"/>
  <c r="R3" i="51"/>
  <c r="M6" i="51" s="1"/>
  <c r="M6" i="49"/>
  <c r="E10" i="47" l="1"/>
  <c r="O29" i="47"/>
  <c r="O28" i="47"/>
  <c r="O27" i="47"/>
  <c r="O26" i="47"/>
  <c r="O25" i="47"/>
  <c r="O24" i="47"/>
  <c r="O23" i="47"/>
  <c r="O22" i="47"/>
  <c r="O21" i="47"/>
  <c r="O20" i="47"/>
  <c r="O19" i="47"/>
  <c r="O18" i="47"/>
  <c r="O17" i="47"/>
  <c r="O16" i="47"/>
  <c r="O15" i="47"/>
  <c r="O14" i="47"/>
  <c r="O13" i="47"/>
  <c r="O12" i="47"/>
  <c r="O11" i="47"/>
  <c r="O10" i="47"/>
  <c r="L29" i="47"/>
  <c r="L28" i="47"/>
  <c r="N28" i="47" s="1"/>
  <c r="L27" i="47"/>
  <c r="L26" i="47"/>
  <c r="L25" i="47"/>
  <c r="N25" i="47" s="1"/>
  <c r="L24" i="47"/>
  <c r="L23" i="47"/>
  <c r="L22" i="47"/>
  <c r="N22" i="47" s="1"/>
  <c r="L21" i="47"/>
  <c r="L20" i="47"/>
  <c r="N20" i="47" s="1"/>
  <c r="L19" i="47"/>
  <c r="L18" i="47"/>
  <c r="L17" i="47"/>
  <c r="L16" i="47"/>
  <c r="L15" i="47"/>
  <c r="L14" i="47"/>
  <c r="N14" i="47" s="1"/>
  <c r="L13" i="47"/>
  <c r="L12" i="47"/>
  <c r="N12" i="47" s="1"/>
  <c r="L11" i="47"/>
  <c r="N11" i="47" s="1"/>
  <c r="L10" i="47"/>
  <c r="K29" i="47"/>
  <c r="J29" i="47"/>
  <c r="K28" i="47"/>
  <c r="J28" i="47"/>
  <c r="K27" i="47"/>
  <c r="J27" i="47"/>
  <c r="K26" i="47"/>
  <c r="J26" i="47"/>
  <c r="K25" i="47"/>
  <c r="J25" i="47"/>
  <c r="K24" i="47"/>
  <c r="J24" i="47"/>
  <c r="K23" i="47"/>
  <c r="J23" i="47"/>
  <c r="K22" i="47"/>
  <c r="J22" i="47"/>
  <c r="K21" i="47"/>
  <c r="J21" i="47"/>
  <c r="K20" i="47"/>
  <c r="J20" i="47"/>
  <c r="K19" i="47"/>
  <c r="J19" i="47"/>
  <c r="K18" i="47"/>
  <c r="J18" i="47"/>
  <c r="K17" i="47"/>
  <c r="J17" i="47"/>
  <c r="K16" i="47"/>
  <c r="J16" i="47"/>
  <c r="K15" i="47"/>
  <c r="J15" i="47"/>
  <c r="K14" i="47"/>
  <c r="J14" i="47"/>
  <c r="K13" i="47"/>
  <c r="J13" i="47"/>
  <c r="K12" i="47"/>
  <c r="J12" i="47"/>
  <c r="K11" i="47"/>
  <c r="J11" i="47"/>
  <c r="K10" i="47"/>
  <c r="J10" i="47"/>
  <c r="E29" i="47"/>
  <c r="D29" i="47"/>
  <c r="C29" i="47"/>
  <c r="E28" i="47"/>
  <c r="D28" i="47"/>
  <c r="C28" i="47"/>
  <c r="E27" i="47"/>
  <c r="D27" i="47"/>
  <c r="C27" i="47"/>
  <c r="E26" i="47"/>
  <c r="D26" i="47"/>
  <c r="C26" i="47"/>
  <c r="E25" i="47"/>
  <c r="D25" i="47"/>
  <c r="C25" i="47"/>
  <c r="E24" i="47"/>
  <c r="D24" i="47"/>
  <c r="C24" i="47"/>
  <c r="E23" i="47"/>
  <c r="D23" i="47"/>
  <c r="C23" i="47"/>
  <c r="E22" i="47"/>
  <c r="D22" i="47"/>
  <c r="C22" i="47"/>
  <c r="E21" i="47"/>
  <c r="D21" i="47"/>
  <c r="C21" i="47"/>
  <c r="E20" i="47"/>
  <c r="D20" i="47"/>
  <c r="C20" i="47"/>
  <c r="E19" i="47"/>
  <c r="D19" i="47"/>
  <c r="C19" i="47"/>
  <c r="E18" i="47"/>
  <c r="D18" i="47"/>
  <c r="C18" i="47"/>
  <c r="E17" i="47"/>
  <c r="D17" i="47"/>
  <c r="C17" i="47"/>
  <c r="E16" i="47"/>
  <c r="D16" i="47"/>
  <c r="C16" i="47"/>
  <c r="E15" i="47"/>
  <c r="D15" i="47"/>
  <c r="C15" i="47"/>
  <c r="E14" i="47"/>
  <c r="D14" i="47"/>
  <c r="C14" i="47"/>
  <c r="E13" i="47"/>
  <c r="D13" i="47"/>
  <c r="C13" i="47"/>
  <c r="E12" i="47"/>
  <c r="D12" i="47"/>
  <c r="C12" i="47"/>
  <c r="E11" i="47"/>
  <c r="D11" i="47"/>
  <c r="C11" i="47"/>
  <c r="D10" i="47"/>
  <c r="C10" i="47"/>
  <c r="E32" i="47"/>
  <c r="E31" i="47"/>
  <c r="M30" i="47"/>
  <c r="N29" i="47"/>
  <c r="N27" i="47"/>
  <c r="N26" i="47"/>
  <c r="N24" i="47"/>
  <c r="N23" i="47"/>
  <c r="N21" i="47"/>
  <c r="N19" i="47"/>
  <c r="N18" i="47"/>
  <c r="N17" i="47"/>
  <c r="N16" i="47"/>
  <c r="N15" i="47"/>
  <c r="N13" i="47"/>
  <c r="I6" i="47"/>
  <c r="H6" i="47"/>
  <c r="D5" i="47"/>
  <c r="G25" i="47"/>
  <c r="G12" i="47"/>
  <c r="A28" i="47"/>
  <c r="G18" i="47"/>
  <c r="A19" i="47"/>
  <c r="A21" i="47"/>
  <c r="A11" i="47"/>
  <c r="G24" i="47"/>
  <c r="A14" i="47"/>
  <c r="G15" i="47"/>
  <c r="G28" i="47"/>
  <c r="G17" i="47"/>
  <c r="G10" i="47"/>
  <c r="A20" i="47"/>
  <c r="G13" i="47"/>
  <c r="G20" i="47"/>
  <c r="G22" i="47"/>
  <c r="A23" i="47"/>
  <c r="G29" i="47"/>
  <c r="G11" i="47"/>
  <c r="A16" i="47"/>
  <c r="A18" i="47"/>
  <c r="G19" i="47"/>
  <c r="A25" i="47"/>
  <c r="A10" i="47"/>
  <c r="A13" i="47"/>
  <c r="A22" i="47"/>
  <c r="G21" i="47"/>
  <c r="G14" i="47"/>
  <c r="A15" i="47"/>
  <c r="G26" i="47"/>
  <c r="A27" i="47"/>
  <c r="A17" i="47"/>
  <c r="G23" i="47"/>
  <c r="A29" i="47"/>
  <c r="A12" i="47"/>
  <c r="G27" i="47"/>
  <c r="A26" i="47"/>
  <c r="A24" i="47"/>
  <c r="G16" i="47"/>
  <c r="P23" i="47" l="1"/>
  <c r="P11" i="47"/>
  <c r="P19" i="47"/>
  <c r="P27" i="47"/>
  <c r="P12" i="47"/>
  <c r="P20" i="47"/>
  <c r="P28" i="47"/>
  <c r="P13" i="47"/>
  <c r="P21" i="47"/>
  <c r="P29" i="47"/>
  <c r="P14" i="47"/>
  <c r="P22" i="47"/>
  <c r="P15" i="47"/>
  <c r="P16" i="47"/>
  <c r="P24" i="47"/>
  <c r="P17" i="47"/>
  <c r="P25" i="47"/>
  <c r="P18" i="47"/>
  <c r="P26" i="47"/>
  <c r="O30" i="47"/>
  <c r="L30" i="47"/>
  <c r="N10" i="47"/>
  <c r="P10" i="47" s="1"/>
  <c r="P30" i="47" l="1"/>
  <c r="N30" i="47"/>
  <c r="AP1" i="1" l="1"/>
  <c r="AP3" i="1" s="1"/>
  <c r="W37" i="1" s="1"/>
  <c r="AO1" i="1"/>
  <c r="AI37" i="1" l="1"/>
  <c r="AK37" i="1"/>
  <c r="Y37" i="1"/>
  <c r="AA37" i="1"/>
  <c r="AC37" i="1"/>
  <c r="AE37" i="1"/>
  <c r="AG37" i="1"/>
  <c r="AS1" i="1"/>
  <c r="C34" i="1" s="1"/>
  <c r="BA1" i="1"/>
  <c r="S34" i="1" s="1"/>
  <c r="AO3" i="1"/>
  <c r="AT1" i="1"/>
  <c r="E34" i="1" s="1"/>
  <c r="BB1" i="1"/>
  <c r="U34" i="1" s="1"/>
  <c r="AU1" i="1"/>
  <c r="G34" i="1" s="1"/>
  <c r="BC1" i="1"/>
  <c r="W34" i="1" s="1"/>
  <c r="AV1" i="1"/>
  <c r="I34" i="1" s="1"/>
  <c r="AZ1" i="1"/>
  <c r="Q34" i="1" s="1"/>
  <c r="AW1" i="1"/>
  <c r="K34" i="1" s="1"/>
  <c r="AR1" i="1"/>
  <c r="A34" i="1" s="1"/>
  <c r="AX1" i="1"/>
  <c r="M34" i="1" s="1"/>
  <c r="AY1" i="1"/>
  <c r="O34" i="1" s="1"/>
  <c r="E37" i="1" l="1"/>
  <c r="A37" i="1"/>
  <c r="K37" i="1"/>
  <c r="I37" i="1"/>
  <c r="G37" i="1"/>
  <c r="C37" i="1"/>
  <c r="M37" i="1"/>
  <c r="O37" i="1"/>
  <c r="AK33" i="1"/>
  <c r="AI33" i="1"/>
  <c r="AG33" i="1"/>
  <c r="AE33" i="1"/>
  <c r="M6" i="4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CF94D6-14B1-464F-9277-F38EC7A42CFC}" keepAlive="1" name="Query - Logs" description="Connection to the 'Logs' query in the workbook." type="5" refreshedVersion="0" background="1">
    <dbPr connection="Provider=Microsoft.Mashup.OleDb.1;Data Source=$Workbook$;Location=Logs;Extended Properties=&quot;&quot;" command="SELECT * FROM [Logs]"/>
  </connection>
  <connection id="2" xr16:uid="{365D4DF3-864F-4E3A-B437-1949E9A495B5}" keepAlive="1" name="Query - pmis_labour_logs (7)" description="Connection to the 'pmis_labour_logs (7)' query in the workbook." type="5" refreshedVersion="8" background="1" saveData="1">
    <dbPr connection="Provider=Microsoft.Mashup.OleDb.1;Data Source=$Workbook$;Location=&quot;pmis_labour_logs (7)&quot;;Extended Properties=&quot;&quot;" command="SELECT * FROM [pmis_labour_logs (7)]"/>
  </connection>
</connections>
</file>

<file path=xl/sharedStrings.xml><?xml version="1.0" encoding="utf-8"?>
<sst xmlns="http://schemas.openxmlformats.org/spreadsheetml/2006/main" count="3520" uniqueCount="1037">
  <si>
    <t>CITY OF CAPE TOWN</t>
  </si>
  <si>
    <t>MONTHLY PROJECT LABOUR REPORT</t>
  </si>
  <si>
    <t>Instructions for completing and submitting forms</t>
  </si>
  <si>
    <t>General</t>
  </si>
  <si>
    <t>Project Details</t>
  </si>
  <si>
    <t>If a field is not applicable insert the letters: NA</t>
  </si>
  <si>
    <t>Beneficiary Details and Work Information</t>
  </si>
  <si>
    <t>Submission of Forms</t>
  </si>
  <si>
    <t>PROJECT DETAILS</t>
  </si>
  <si>
    <t>DIRECTORATE:</t>
  </si>
  <si>
    <t>CELL</t>
  </si>
  <si>
    <t>WORK</t>
  </si>
  <si>
    <t>CONTRACT OR WORKS PROJECT NUMBER:</t>
  </si>
  <si>
    <t>DEPARTMENT:</t>
  </si>
  <si>
    <t>JAN</t>
  </si>
  <si>
    <t>FEB</t>
  </si>
  <si>
    <t>MAY</t>
  </si>
  <si>
    <t>AUG</t>
  </si>
  <si>
    <t>OCT</t>
  </si>
  <si>
    <t>NOV</t>
  </si>
  <si>
    <t>DEC</t>
  </si>
  <si>
    <t>TOTAL PROJECT EXPENDITURE / VALUE OF WORK DONE TO-DATE (INCLUDING ALL COSTS, BUT EXCLUDING VAT)</t>
  </si>
  <si>
    <t>R</t>
  </si>
  <si>
    <t>MAR</t>
  </si>
  <si>
    <t>APR</t>
  </si>
  <si>
    <t>JUN</t>
  </si>
  <si>
    <t>JUL</t>
  </si>
  <si>
    <t>SEP</t>
  </si>
  <si>
    <t>BENEFICIARY DETAILS AND WORK INFORMATION</t>
  </si>
  <si>
    <t>No.</t>
  </si>
  <si>
    <t>First name</t>
  </si>
  <si>
    <t>Surname</t>
  </si>
  <si>
    <t>ID number</t>
  </si>
  <si>
    <t>Gender (M/F)</t>
  </si>
  <si>
    <t>(8)</t>
  </si>
  <si>
    <t>(9)</t>
  </si>
  <si>
    <t>(10)</t>
  </si>
  <si>
    <t>(11)</t>
  </si>
  <si>
    <t>(12)</t>
  </si>
  <si>
    <t xml:space="preserve">TEL. NUMBER: </t>
  </si>
  <si>
    <t>Numbers in cells below e.g (6) refer to the relevant instruction above for completing and submitting forms</t>
  </si>
  <si>
    <t>No. days worked this month (excl. training)</t>
  </si>
  <si>
    <t>(13)</t>
  </si>
  <si>
    <t>ANNEX 1</t>
  </si>
  <si>
    <t>ANNEX 1 (continued)</t>
  </si>
  <si>
    <t>The contract end date as stated in the  beneficiary's employment contract.</t>
  </si>
  <si>
    <t xml:space="preserve">CONTACT PERSON: </t>
  </si>
  <si>
    <t>VENDOR NAME:</t>
  </si>
  <si>
    <t>E-MAIL ADDRESS:</t>
  </si>
  <si>
    <t xml:space="preserve">CONTRACT OR WORKS </t>
  </si>
  <si>
    <t>Any conditions relating to targeted labour stipulated in the Contract (in the case of contracted</t>
  </si>
  <si>
    <t>out services or works) shall apply to the completion and submission of these forms.</t>
  </si>
  <si>
    <t xml:space="preserve">This document is available in Microsoft Excel format upon request from the City's EPWP </t>
  </si>
  <si>
    <t>reflect the actual end date.</t>
  </si>
  <si>
    <t xml:space="preserve">On completion of the contract or works project the anticipated end date must be updated to  </t>
  </si>
  <si>
    <t>beneficiary's ID document.</t>
  </si>
  <si>
    <t xml:space="preserve">Care must be taken to ensure that beneficiary details correspond accurately with the </t>
  </si>
  <si>
    <t xml:space="preserve">A new beneficiary is one in respect of which a new employment contract is signed in the </t>
  </si>
  <si>
    <t>shall not be reflected on this form at all.</t>
  </si>
  <si>
    <t>electronic (.pdf) format, together with the completed form in Microsoft Excel format.</t>
  </si>
  <si>
    <t xml:space="preserve">CONTRACTOR OR </t>
  </si>
  <si>
    <t xml:space="preserve">CONTRACTOR OR VENDOR </t>
  </si>
  <si>
    <t>PROJECT NUMBER:   (6)</t>
  </si>
  <si>
    <t>PROJECT NAME:        (6)</t>
  </si>
  <si>
    <t>ACTUAL START DATE (yyyy/mm/dd)</t>
  </si>
  <si>
    <t>ANTICIPATED / ACTUAL END DATE (yyyy/mm/dd)                      (7)</t>
  </si>
  <si>
    <t>PROJECT LABOUR REPORT CURRENT MONTH (mark with "X")</t>
  </si>
  <si>
    <t>characters; alternatively, should a computer not be available, handwritten in black ink.</t>
  </si>
  <si>
    <t>Incomplete / incorrect / illegible forms will not be accepted.</t>
  </si>
  <si>
    <t>Was the beneficiary sourced from the City's job seeker database?</t>
  </si>
  <si>
    <t xml:space="preserve">Signed hardcopy forms must be scanned and submitted to the City's project manager in </t>
  </si>
  <si>
    <t>If a computer is not available hardcopy forms and supporting documentation will be accepted.</t>
  </si>
  <si>
    <t>office, tel 021 400 9406, email EPWPLR@capetown.gov.za.</t>
  </si>
  <si>
    <t xml:space="preserve">Scanned copies of all applicable supporting documentation must be submitted along with </t>
  </si>
  <si>
    <t>only required in respect of new beneficiaries.</t>
  </si>
  <si>
    <t xml:space="preserve">each monthly project labour report. Copies of employment contracts and ID documents are </t>
  </si>
  <si>
    <t>Disabled (Y/N)</t>
  </si>
  <si>
    <t>Job seeker database (Y/N)</t>
  </si>
  <si>
    <t>Sheet</t>
  </si>
  <si>
    <t>of</t>
  </si>
  <si>
    <t>Year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</si>
  <si>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</si>
  <si>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</si>
  <si>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</si>
  <si>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</si>
  <si>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</si>
  <si>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</si>
  <si>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</si>
  <si>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</si>
  <si>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</si>
  <si>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</si>
  <si>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</si>
  <si>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</si>
  <si>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</si>
  <si>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Contract         end date (DDMMYY)</t>
  </si>
  <si>
    <t>Contract          start date (DDMMYY)</t>
  </si>
  <si>
    <t>New Beneficiary (Y/N)</t>
  </si>
  <si>
    <t>Name</t>
  </si>
  <si>
    <t>Declared by Contractor or Vendor to be true and correct:</t>
  </si>
  <si>
    <t>Received by Employer's Agent / Representative:</t>
  </si>
  <si>
    <t>Date</t>
  </si>
  <si>
    <t>Signature</t>
  </si>
  <si>
    <t>Rate of pay         per day (R – c)</t>
  </si>
  <si>
    <t>Training days</t>
  </si>
  <si>
    <t>(14)</t>
  </si>
  <si>
    <t xml:space="preserve">The Monthly Project Labour Reports must be completed in full, using typed, proper case  </t>
  </si>
  <si>
    <t>EPWP SUPPLIED</t>
  </si>
  <si>
    <t xml:space="preserve">Only the Project Number supplied by the Corporate EPWP Office must be inserted. </t>
  </si>
  <si>
    <t>The Project Number can be obtained from the Coordinator or Project Manager or from the</t>
  </si>
  <si>
    <t>e-mail address in point 4 above.</t>
  </si>
  <si>
    <t>current month. A certied ID copy must accompany this labour report on submission.</t>
  </si>
  <si>
    <t>Where a beneficiary has not worked in a particular month, the beneficiary's name shall not be</t>
  </si>
  <si>
    <t>reflected on this form at all for the month in question.</t>
  </si>
  <si>
    <t>Training will be recorded separately from normal working days and together shall not</t>
  </si>
  <si>
    <t>exceed the maximum of 23 days per month</t>
  </si>
  <si>
    <t xml:space="preserve">YEAR   </t>
  </si>
  <si>
    <t>Total Days worked</t>
  </si>
  <si>
    <t>Total wage cost</t>
  </si>
  <si>
    <r>
      <t xml:space="preserve">Workers earning more than the maximum daily rate (currently </t>
    </r>
    <r>
      <rPr>
        <b/>
        <sz val="8"/>
        <color theme="1"/>
        <rFont val="Arial"/>
        <family val="2"/>
      </rPr>
      <t xml:space="preserve">R500 </t>
    </r>
    <r>
      <rPr>
        <sz val="8"/>
        <color theme="1"/>
        <rFont val="Arial"/>
        <family val="2"/>
      </rPr>
      <t xml:space="preserve">excluding any benefits) </t>
    </r>
  </si>
  <si>
    <t>Servicing and Management of 100-litre Container Toilets in Areas of Informality City Wide.</t>
  </si>
  <si>
    <t>WATER AND SANITATION</t>
  </si>
  <si>
    <t>MSHENGU TOILET HIRE</t>
  </si>
  <si>
    <t>Benjamin Milandou-Loubeka</t>
  </si>
  <si>
    <t>DISTRIBUTION SERVICES - INFORMAL SETTLEMENTS</t>
  </si>
  <si>
    <t>info@mshengutoilethire.co.za</t>
  </si>
  <si>
    <t>-</t>
  </si>
  <si>
    <t>WSDS/24/111i</t>
  </si>
  <si>
    <t>Start Month</t>
  </si>
  <si>
    <t>End Month</t>
  </si>
  <si>
    <t>No</t>
  </si>
  <si>
    <t>ID Number</t>
  </si>
  <si>
    <t>Month Start Date</t>
  </si>
  <si>
    <t>Month End Date</t>
  </si>
  <si>
    <t>Days Worked</t>
  </si>
  <si>
    <t>Rate per Day</t>
  </si>
  <si>
    <t>Site</t>
  </si>
  <si>
    <t>Designation</t>
  </si>
  <si>
    <t>Edith</t>
  </si>
  <si>
    <t>Losper</t>
  </si>
  <si>
    <t>01/08/2021</t>
  </si>
  <si>
    <t>30/09/2023</t>
  </si>
  <si>
    <t>Klipfontein</t>
  </si>
  <si>
    <t>General Worker</t>
  </si>
  <si>
    <t>Lorraine</t>
  </si>
  <si>
    <t>George</t>
  </si>
  <si>
    <t>Lerina</t>
  </si>
  <si>
    <t>Blaauw</t>
  </si>
  <si>
    <t>Deborah</t>
  </si>
  <si>
    <t>Camerlita</t>
  </si>
  <si>
    <t>Koks</t>
  </si>
  <si>
    <t>Zakhele</t>
  </si>
  <si>
    <t>Mankayi</t>
  </si>
  <si>
    <t>Sweethomes Farm</t>
  </si>
  <si>
    <t>Mzukisi</t>
  </si>
  <si>
    <t>Mntuwentla</t>
  </si>
  <si>
    <t>Vuyiswa</t>
  </si>
  <si>
    <t>Vellem</t>
  </si>
  <si>
    <t>31/10/2023</t>
  </si>
  <si>
    <t>Kosovo</t>
  </si>
  <si>
    <t>Team Leader</t>
  </si>
  <si>
    <t>Jongikhaya</t>
  </si>
  <si>
    <t>Bolish</t>
  </si>
  <si>
    <t>Zukolwesizwe</t>
  </si>
  <si>
    <t>Mngxe</t>
  </si>
  <si>
    <t>31/07/2024</t>
  </si>
  <si>
    <t>City Wide</t>
  </si>
  <si>
    <t>Roving Team Leader</t>
  </si>
  <si>
    <t>Vumile</t>
  </si>
  <si>
    <t>Ntamo</t>
  </si>
  <si>
    <t>Musa</t>
  </si>
  <si>
    <t>Nompumza</t>
  </si>
  <si>
    <t>01/02/2022</t>
  </si>
  <si>
    <t>Noluvo</t>
  </si>
  <si>
    <t>Sofute</t>
  </si>
  <si>
    <t>03/09/2021</t>
  </si>
  <si>
    <t>Joe Slovo Langa</t>
  </si>
  <si>
    <t>Phiwamandla</t>
  </si>
  <si>
    <t>Colidiza</t>
  </si>
  <si>
    <t>13/03/0009</t>
  </si>
  <si>
    <t>Zola</t>
  </si>
  <si>
    <t>Fotoyi</t>
  </si>
  <si>
    <t>Fefekazi</t>
  </si>
  <si>
    <t>Siteto</t>
  </si>
  <si>
    <t>Lizeka</t>
  </si>
  <si>
    <t>Tasambana</t>
  </si>
  <si>
    <t>Lindelwa</t>
  </si>
  <si>
    <t>Bushula</t>
  </si>
  <si>
    <t>Nokubonga</t>
  </si>
  <si>
    <t>Mbekela</t>
  </si>
  <si>
    <t>Bongisa</t>
  </si>
  <si>
    <t>Kona</t>
  </si>
  <si>
    <t>Funyanwa</t>
  </si>
  <si>
    <t>Sobekwa-Qudalele</t>
  </si>
  <si>
    <t>Siphokazi</t>
  </si>
  <si>
    <t>Dube</t>
  </si>
  <si>
    <t>21/11/0001</t>
  </si>
  <si>
    <t>Messia</t>
  </si>
  <si>
    <t>Damane</t>
  </si>
  <si>
    <t>13/06/0007</t>
  </si>
  <si>
    <t>Monwood Road</t>
  </si>
  <si>
    <t>Babalwa</t>
  </si>
  <si>
    <t>Mchenge</t>
  </si>
  <si>
    <t>11/12/2021</t>
  </si>
  <si>
    <t>Louisa</t>
  </si>
  <si>
    <t>Theron</t>
  </si>
  <si>
    <t>01/03/2022</t>
  </si>
  <si>
    <t>Klipheuwel</t>
  </si>
  <si>
    <t>Kekeletso</t>
  </si>
  <si>
    <t>Sello</t>
  </si>
  <si>
    <t>Ntomboxolo</t>
  </si>
  <si>
    <t>Yaya</t>
  </si>
  <si>
    <t>05/03/2022</t>
  </si>
  <si>
    <t>Mkondo</t>
  </si>
  <si>
    <t>Ntandazo</t>
  </si>
  <si>
    <t>Baphi</t>
  </si>
  <si>
    <t>12/09/0013</t>
  </si>
  <si>
    <t>Ntombesiphelo</t>
  </si>
  <si>
    <t>Diniso</t>
  </si>
  <si>
    <t>01/05/2022</t>
  </si>
  <si>
    <t>Covid-19</t>
  </si>
  <si>
    <t>Ntombizonke</t>
  </si>
  <si>
    <t>Mkhetshane`</t>
  </si>
  <si>
    <t>13/12/0006</t>
  </si>
  <si>
    <t>Dunyiswa</t>
  </si>
  <si>
    <t>Ngxabazi</t>
  </si>
  <si>
    <t>12/02/0007</t>
  </si>
  <si>
    <t>Nomakhaya</t>
  </si>
  <si>
    <t>Sinkwane</t>
  </si>
  <si>
    <t>Dywayda</t>
  </si>
  <si>
    <t>Shumi</t>
  </si>
  <si>
    <t>Dassenberg Bush</t>
  </si>
  <si>
    <t>Natasha</t>
  </si>
  <si>
    <t>Bailey</t>
  </si>
  <si>
    <t>Morkel Cottage</t>
  </si>
  <si>
    <t>Fatima</t>
  </si>
  <si>
    <t>Faro</t>
  </si>
  <si>
    <t>7de Laan</t>
  </si>
  <si>
    <t>Pontso</t>
  </si>
  <si>
    <t>Sefako</t>
  </si>
  <si>
    <t>Masincedane</t>
  </si>
  <si>
    <t>Jasmine</t>
  </si>
  <si>
    <t>Andries</t>
  </si>
  <si>
    <t>City Mission</t>
  </si>
  <si>
    <t>Nolusindiso</t>
  </si>
  <si>
    <t>Sidungulu</t>
  </si>
  <si>
    <t>Nomthandazo</t>
  </si>
  <si>
    <t>Keswa</t>
  </si>
  <si>
    <t>01/09/2022</t>
  </si>
  <si>
    <t>15/03/0036</t>
  </si>
  <si>
    <t>Redhill</t>
  </si>
  <si>
    <t>Kholeka</t>
  </si>
  <si>
    <t>Alam</t>
  </si>
  <si>
    <t>Zintombi</t>
  </si>
  <si>
    <t>Gantsho</t>
  </si>
  <si>
    <t>Thembisa</t>
  </si>
  <si>
    <t>Kondile</t>
  </si>
  <si>
    <t>Nosiphelo</t>
  </si>
  <si>
    <t>Mbonda</t>
  </si>
  <si>
    <t>Nontembeko</t>
  </si>
  <si>
    <t>Kalmane</t>
  </si>
  <si>
    <t>Ronell</t>
  </si>
  <si>
    <t>Dorman</t>
  </si>
  <si>
    <t>De Waal Rd Skeemsaam</t>
  </si>
  <si>
    <t>Nontombi</t>
  </si>
  <si>
    <t>Boyiya</t>
  </si>
  <si>
    <t>13/04/0009</t>
  </si>
  <si>
    <t>14/04/0037</t>
  </si>
  <si>
    <t>Zone 14</t>
  </si>
  <si>
    <t>Lindiwe</t>
  </si>
  <si>
    <t>Grabile</t>
  </si>
  <si>
    <t>14/04/0007</t>
  </si>
  <si>
    <t>14/04/0036</t>
  </si>
  <si>
    <t>Nosisana</t>
  </si>
  <si>
    <t>Peteni</t>
  </si>
  <si>
    <t>15/05/0007</t>
  </si>
  <si>
    <t>Esethu</t>
  </si>
  <si>
    <t>Maqaqa</t>
  </si>
  <si>
    <t>Khonziwe</t>
  </si>
  <si>
    <t>Soxa</t>
  </si>
  <si>
    <t>Esther</t>
  </si>
  <si>
    <t>Paliso</t>
  </si>
  <si>
    <t>Ncedisa</t>
  </si>
  <si>
    <t>Njikili</t>
  </si>
  <si>
    <t>Nomfezeko</t>
  </si>
  <si>
    <t>Mhlabuphalele</t>
  </si>
  <si>
    <t/>
  </si>
  <si>
    <t>Mekuto-Gweqe</t>
  </si>
  <si>
    <t>Ayabonga</t>
  </si>
  <si>
    <t>Bokweni</t>
  </si>
  <si>
    <t>Nontembiso</t>
  </si>
  <si>
    <t>Yozi</t>
  </si>
  <si>
    <t>Masibulele</t>
  </si>
  <si>
    <t>Mgwayi</t>
  </si>
  <si>
    <t>Nkwatsha</t>
  </si>
  <si>
    <t>Nosakhiwo</t>
  </si>
  <si>
    <t>Mdeyi</t>
  </si>
  <si>
    <t>Nobedesho</t>
  </si>
  <si>
    <t>Mdutyulwa</t>
  </si>
  <si>
    <t>Bolekwa</t>
  </si>
  <si>
    <t>Matyeni</t>
  </si>
  <si>
    <t>Nandipha</t>
  </si>
  <si>
    <t>Mbalekwa</t>
  </si>
  <si>
    <t>Gwija</t>
  </si>
  <si>
    <t>Aviwe</t>
  </si>
  <si>
    <t>Totoyi</t>
  </si>
  <si>
    <t>Ivy</t>
  </si>
  <si>
    <t>Vikimpi</t>
  </si>
  <si>
    <t>Bukiwe</t>
  </si>
  <si>
    <t>Didi</t>
  </si>
  <si>
    <t>Mpofukazi</t>
  </si>
  <si>
    <t>Maphasa</t>
  </si>
  <si>
    <t>Ntombizanele</t>
  </si>
  <si>
    <t>Nomayama</t>
  </si>
  <si>
    <t>Limane</t>
  </si>
  <si>
    <t>Jabulisile</t>
  </si>
  <si>
    <t>Mbundu</t>
  </si>
  <si>
    <t>Nokwayintombi</t>
  </si>
  <si>
    <t>Botha</t>
  </si>
  <si>
    <t>Phumza</t>
  </si>
  <si>
    <t>Stondo</t>
  </si>
  <si>
    <t>Nolundi</t>
  </si>
  <si>
    <t>Finya</t>
  </si>
  <si>
    <t>Nosibulele</t>
  </si>
  <si>
    <t>Tshaka</t>
  </si>
  <si>
    <t>Nomandla</t>
  </si>
  <si>
    <t>Geca</t>
  </si>
  <si>
    <t>lindiwe</t>
  </si>
  <si>
    <t>Tebekwana</t>
  </si>
  <si>
    <t>Nobuhle</t>
  </si>
  <si>
    <t>Ngqola</t>
  </si>
  <si>
    <t>Ncediswa</t>
  </si>
  <si>
    <t>Ndudula</t>
  </si>
  <si>
    <t>Noxolo</t>
  </si>
  <si>
    <t>Joniga</t>
  </si>
  <si>
    <t>Patricia</t>
  </si>
  <si>
    <t>Boniswa</t>
  </si>
  <si>
    <t>Noluthando</t>
  </si>
  <si>
    <t>Xakuvana</t>
  </si>
  <si>
    <t>Nomfusi</t>
  </si>
  <si>
    <t>Mandla</t>
  </si>
  <si>
    <t>Marianne</t>
  </si>
  <si>
    <t>Jakobs</t>
  </si>
  <si>
    <t>Rasta Camp</t>
  </si>
  <si>
    <t>Nompucuko</t>
  </si>
  <si>
    <t>Mbango</t>
  </si>
  <si>
    <t>Theresa</t>
  </si>
  <si>
    <t>Pietersen</t>
  </si>
  <si>
    <t>Nokulunga</t>
  </si>
  <si>
    <t>Madanda</t>
  </si>
  <si>
    <t>Jim Se Bos</t>
  </si>
  <si>
    <t>Kholiswa</t>
  </si>
  <si>
    <t>Tsotsa</t>
  </si>
  <si>
    <t>14/05/0009</t>
  </si>
  <si>
    <t>15/05/0036</t>
  </si>
  <si>
    <t>New Culture</t>
  </si>
  <si>
    <t>Xolelwa</t>
  </si>
  <si>
    <t>Khambi</t>
  </si>
  <si>
    <t>Mthathelwa</t>
  </si>
  <si>
    <t>Busisiwe</t>
  </si>
  <si>
    <t>Mdingi</t>
  </si>
  <si>
    <t>Ntobeko</t>
  </si>
  <si>
    <t>Cwaba</t>
  </si>
  <si>
    <t>Bonelwa</t>
  </si>
  <si>
    <t>Ndendze</t>
  </si>
  <si>
    <t>Sizami Mpilo</t>
  </si>
  <si>
    <t>Zimkhitha</t>
  </si>
  <si>
    <t>Dyantyi</t>
  </si>
  <si>
    <t>15/05/0014</t>
  </si>
  <si>
    <t>Nombingisana</t>
  </si>
  <si>
    <t>Mgcikwa</t>
  </si>
  <si>
    <t>Nocawe</t>
  </si>
  <si>
    <t>Mhlomi</t>
  </si>
  <si>
    <t>Nosilungisele</t>
  </si>
  <si>
    <t>Dumisana</t>
  </si>
  <si>
    <t>Lydia</t>
  </si>
  <si>
    <t>Thompson</t>
  </si>
  <si>
    <t>Nokutshaya</t>
  </si>
  <si>
    <t>Cecilia</t>
  </si>
  <si>
    <t>Pekenene</t>
  </si>
  <si>
    <t>Nonkululeko</t>
  </si>
  <si>
    <t>Mgetyengana</t>
  </si>
  <si>
    <t>Nkeletseng</t>
  </si>
  <si>
    <t>Monethi</t>
  </si>
  <si>
    <t>Naome</t>
  </si>
  <si>
    <t>Monyane</t>
  </si>
  <si>
    <t>Likenkeng</t>
  </si>
  <si>
    <t>Ntsie</t>
  </si>
  <si>
    <t>Ndyiba</t>
  </si>
  <si>
    <t>Mrubata</t>
  </si>
  <si>
    <t>Thandiwe</t>
  </si>
  <si>
    <t>Swelenkomo</t>
  </si>
  <si>
    <t>Dimakatso</t>
  </si>
  <si>
    <t>Ngubo</t>
  </si>
  <si>
    <t>Nombuyiselo</t>
  </si>
  <si>
    <t>Dyosi</t>
  </si>
  <si>
    <t>Mapula</t>
  </si>
  <si>
    <t>Lehata</t>
  </si>
  <si>
    <t>Keneuoe</t>
  </si>
  <si>
    <t>Sello-Ngcwangu</t>
  </si>
  <si>
    <t>Nosicelo</t>
  </si>
  <si>
    <t>Cimela</t>
  </si>
  <si>
    <t>Mda</t>
  </si>
  <si>
    <t>Mavume</t>
  </si>
  <si>
    <t>Tygerberg Race Course</t>
  </si>
  <si>
    <t>Siphe</t>
  </si>
  <si>
    <t>Gevenga</t>
  </si>
  <si>
    <t>15/05/0010</t>
  </si>
  <si>
    <t>Nokuzola</t>
  </si>
  <si>
    <t>Gubudu</t>
  </si>
  <si>
    <t>14/06/0007</t>
  </si>
  <si>
    <t>TR Section</t>
  </si>
  <si>
    <t>Zandiswa</t>
  </si>
  <si>
    <t>Giwantsha</t>
  </si>
  <si>
    <t>Zuzeka</t>
  </si>
  <si>
    <t>Mpoba-Jezile</t>
  </si>
  <si>
    <t>Phumeza</t>
  </si>
  <si>
    <t>Siko</t>
  </si>
  <si>
    <t>Nondumiso</t>
  </si>
  <si>
    <t>Mdawe</t>
  </si>
  <si>
    <t>Thabo Mbeki</t>
  </si>
  <si>
    <t>Fundiswa</t>
  </si>
  <si>
    <t>Yawa</t>
  </si>
  <si>
    <t>Famfam</t>
  </si>
  <si>
    <t>Phumlani</t>
  </si>
  <si>
    <t>Mpinge</t>
  </si>
  <si>
    <t>Sibongile</t>
  </si>
  <si>
    <t>Nosisa</t>
  </si>
  <si>
    <t>Sibetyu</t>
  </si>
  <si>
    <t>Zoliswa</t>
  </si>
  <si>
    <t>Qamata</t>
  </si>
  <si>
    <t>Funeka</t>
  </si>
  <si>
    <t>Ngaka</t>
  </si>
  <si>
    <t>Mpontshane</t>
  </si>
  <si>
    <t>Winnie Madikizela</t>
  </si>
  <si>
    <t>Cwayitiswa</t>
  </si>
  <si>
    <t>Gova</t>
  </si>
  <si>
    <t>14/06/0036</t>
  </si>
  <si>
    <t>Nosivuyile</t>
  </si>
  <si>
    <t>Sebezo</t>
  </si>
  <si>
    <t>Makhinzi</t>
  </si>
  <si>
    <t xml:space="preserve">Baliswa </t>
  </si>
  <si>
    <t>Moni</t>
  </si>
  <si>
    <t>13/06/0008</t>
  </si>
  <si>
    <t>Somcho</t>
  </si>
  <si>
    <t>Loyiso</t>
  </si>
  <si>
    <t>Dlayiya</t>
  </si>
  <si>
    <t>Yalanda</t>
  </si>
  <si>
    <t>Vermeulen</t>
  </si>
  <si>
    <t>09/01/2023</t>
  </si>
  <si>
    <t>31/01/2024</t>
  </si>
  <si>
    <t>Egoli</t>
  </si>
  <si>
    <t>Francisco</t>
  </si>
  <si>
    <t>Malgas</t>
  </si>
  <si>
    <t>Phateka</t>
  </si>
  <si>
    <t>Adonisi</t>
  </si>
  <si>
    <t>16/01/2023</t>
  </si>
  <si>
    <t>16/01/2024</t>
  </si>
  <si>
    <t>Noxolo Xauka</t>
  </si>
  <si>
    <t>Athini</t>
  </si>
  <si>
    <t>Ngaphi</t>
  </si>
  <si>
    <t>Anele</t>
  </si>
  <si>
    <t>Ngcaba</t>
  </si>
  <si>
    <t>Wetlands</t>
  </si>
  <si>
    <t>Anathi</t>
  </si>
  <si>
    <t>Malahlana</t>
  </si>
  <si>
    <t>Sindiwe</t>
  </si>
  <si>
    <t>Gcilitshana</t>
  </si>
  <si>
    <t>23/01/2023</t>
  </si>
  <si>
    <t>New Dawn</t>
  </si>
  <si>
    <t>Rebecca</t>
  </si>
  <si>
    <t>Matubatuba</t>
  </si>
  <si>
    <t>Zizipho</t>
  </si>
  <si>
    <t>Mafilika</t>
  </si>
  <si>
    <t>Cynthia</t>
  </si>
  <si>
    <t>Mhlanga</t>
  </si>
  <si>
    <t>Zodwa</t>
  </si>
  <si>
    <t>Masangwana</t>
  </si>
  <si>
    <t>Noncedo</t>
  </si>
  <si>
    <t>Sibali</t>
  </si>
  <si>
    <t>Vuyokazi</t>
  </si>
  <si>
    <t>Pita</t>
  </si>
  <si>
    <t>Siphosethu</t>
  </si>
  <si>
    <t>Ndileka</t>
  </si>
  <si>
    <t>Duna</t>
  </si>
  <si>
    <t>Mlindi</t>
  </si>
  <si>
    <t>Nogwebela</t>
  </si>
  <si>
    <t>Ethembeni</t>
  </si>
  <si>
    <t>Bokwe</t>
  </si>
  <si>
    <t>Nolubabalo</t>
  </si>
  <si>
    <t>Qinisile</t>
  </si>
  <si>
    <t>Makhala</t>
  </si>
  <si>
    <t>Nkululeko</t>
  </si>
  <si>
    <t>Yabo</t>
  </si>
  <si>
    <t>01/02/2023</t>
  </si>
  <si>
    <t>Social Distance</t>
  </si>
  <si>
    <t>Sanele</t>
  </si>
  <si>
    <t>Tsiba</t>
  </si>
  <si>
    <t>Wothini</t>
  </si>
  <si>
    <t>QQ Section</t>
  </si>
  <si>
    <t>Sandile</t>
  </si>
  <si>
    <t>Mawase</t>
  </si>
  <si>
    <t>Miliswa</t>
  </si>
  <si>
    <t>Thelejane</t>
  </si>
  <si>
    <t>Marikana (Kraaifontein)</t>
  </si>
  <si>
    <t>Sokuyeka</t>
  </si>
  <si>
    <t>03/02/2023</t>
  </si>
  <si>
    <t>28/02/2024</t>
  </si>
  <si>
    <t>Empolweni</t>
  </si>
  <si>
    <t>Roto</t>
  </si>
  <si>
    <t>Aphiwe</t>
  </si>
  <si>
    <t>Kaya</t>
  </si>
  <si>
    <t>Mafani</t>
  </si>
  <si>
    <t>Mtimkhulu</t>
  </si>
  <si>
    <t>Nomonde</t>
  </si>
  <si>
    <t>Mngcoko</t>
  </si>
  <si>
    <t>Feziwe</t>
  </si>
  <si>
    <t>Makhanda</t>
  </si>
  <si>
    <t>06/02/2023</t>
  </si>
  <si>
    <t>Riversite</t>
  </si>
  <si>
    <t>Sibabalwe</t>
  </si>
  <si>
    <t>Philiso</t>
  </si>
  <si>
    <t>Savage &amp; Lovemore</t>
  </si>
  <si>
    <t>Zintle</t>
  </si>
  <si>
    <t>Layini</t>
  </si>
  <si>
    <t>Nolwandle</t>
  </si>
  <si>
    <t>Ndibongo</t>
  </si>
  <si>
    <t>Vuyolwethu</t>
  </si>
  <si>
    <t>Jim</t>
  </si>
  <si>
    <t>Moletsane</t>
  </si>
  <si>
    <t>01/03/2023</t>
  </si>
  <si>
    <t>Zoleka</t>
  </si>
  <si>
    <t>Foloti</t>
  </si>
  <si>
    <t>Dodo</t>
  </si>
  <si>
    <t>Andisiwe</t>
  </si>
  <si>
    <t>Somwahla</t>
  </si>
  <si>
    <t xml:space="preserve">Asive </t>
  </si>
  <si>
    <t>Katsikatsi</t>
  </si>
  <si>
    <t>Asive</t>
  </si>
  <si>
    <t>Mbuwa</t>
  </si>
  <si>
    <t>Faniswa</t>
  </si>
  <si>
    <t>Lahloma</t>
  </si>
  <si>
    <t>Bongani</t>
  </si>
  <si>
    <t>Mayila</t>
  </si>
  <si>
    <t>Nicholas</t>
  </si>
  <si>
    <t>Maxolo</t>
  </si>
  <si>
    <t>Nikelwa</t>
  </si>
  <si>
    <t>Mnqetha</t>
  </si>
  <si>
    <t>Nleboheng</t>
  </si>
  <si>
    <t>Kasibe</t>
  </si>
  <si>
    <t>Nokwanda</t>
  </si>
  <si>
    <t>Mgxaji</t>
  </si>
  <si>
    <t>Zenzile</t>
  </si>
  <si>
    <t>Sive</t>
  </si>
  <si>
    <t>Magqibelo</t>
  </si>
  <si>
    <t>Mdunusana</t>
  </si>
  <si>
    <t>Zikhona</t>
  </si>
  <si>
    <t>Ngwane</t>
  </si>
  <si>
    <t>Bozo</t>
  </si>
  <si>
    <t>Michael</t>
  </si>
  <si>
    <t>Ramba</t>
  </si>
  <si>
    <t>06/03/2023</t>
  </si>
  <si>
    <t>31/03/2024</t>
  </si>
  <si>
    <t>Thembakazi</t>
  </si>
  <si>
    <t>Mqhamkana</t>
  </si>
  <si>
    <t>Nontsikeleko</t>
  </si>
  <si>
    <t>Makhendeleni</t>
  </si>
  <si>
    <t>Area 19</t>
  </si>
  <si>
    <t>Mamela</t>
  </si>
  <si>
    <t>Posiso</t>
  </si>
  <si>
    <t>Mthetheleli</t>
  </si>
  <si>
    <t>Mputha</t>
  </si>
  <si>
    <t>Sicelo</t>
  </si>
  <si>
    <t>Ndlovu</t>
  </si>
  <si>
    <t>13/03/2023</t>
  </si>
  <si>
    <t>Kensite/Graveyard</t>
  </si>
  <si>
    <t>Yandiswa</t>
  </si>
  <si>
    <t>Mjodo</t>
  </si>
  <si>
    <t>Spoorlyn Bloekombos</t>
  </si>
  <si>
    <t>Jerome</t>
  </si>
  <si>
    <t>Gomis</t>
  </si>
  <si>
    <t>01/04/2023</t>
  </si>
  <si>
    <t>Rondeberg</t>
  </si>
  <si>
    <t>Yolanda</t>
  </si>
  <si>
    <t>Snico</t>
  </si>
  <si>
    <t>Radar Road</t>
  </si>
  <si>
    <t>Ncamiso</t>
  </si>
  <si>
    <t>Siyabonga</t>
  </si>
  <si>
    <t>Mfakadolo</t>
  </si>
  <si>
    <t>03/04/2023</t>
  </si>
  <si>
    <t>Siphenkosi</t>
  </si>
  <si>
    <t>Magudumana</t>
  </si>
  <si>
    <t>Silvia</t>
  </si>
  <si>
    <t>Jenkins</t>
  </si>
  <si>
    <t>01/05/2023</t>
  </si>
  <si>
    <t>30/04/2024</t>
  </si>
  <si>
    <t>Kampies</t>
  </si>
  <si>
    <t>Anthony</t>
  </si>
  <si>
    <t>Rich</t>
  </si>
  <si>
    <t>Cleo</t>
  </si>
  <si>
    <t>Vogel</t>
  </si>
  <si>
    <t>Kapteinsklip</t>
  </si>
  <si>
    <t>Mkhululi</t>
  </si>
  <si>
    <t>Rorwana</t>
  </si>
  <si>
    <t>Sinako</t>
  </si>
  <si>
    <t>Nomusa</t>
  </si>
  <si>
    <t>Taleni</t>
  </si>
  <si>
    <t>Sanelise</t>
  </si>
  <si>
    <t>Maqhina</t>
  </si>
  <si>
    <t>Sibanye</t>
  </si>
  <si>
    <t>Pamela</t>
  </si>
  <si>
    <t>Van Rooyen</t>
  </si>
  <si>
    <t>Lockdown Bay</t>
  </si>
  <si>
    <t>Nompumelelo</t>
  </si>
  <si>
    <t>Buhlungu</t>
  </si>
  <si>
    <t>France/BM Section</t>
  </si>
  <si>
    <t>Uthunathi</t>
  </si>
  <si>
    <t>Desemela</t>
  </si>
  <si>
    <t>Mpheleki</t>
  </si>
  <si>
    <t>Jwayi</t>
  </si>
  <si>
    <t xml:space="preserve">Mduduzi </t>
  </si>
  <si>
    <t>Mongalo</t>
  </si>
  <si>
    <t>Nomnikelo</t>
  </si>
  <si>
    <t>Ngesi</t>
  </si>
  <si>
    <t>Bukula</t>
  </si>
  <si>
    <t>Mirriam</t>
  </si>
  <si>
    <t>Masangweni</t>
  </si>
  <si>
    <t>Thoba</t>
  </si>
  <si>
    <t>Dengemntu</t>
  </si>
  <si>
    <t>Oliver</t>
  </si>
  <si>
    <t>Matomela</t>
  </si>
  <si>
    <t>Nomvuyo</t>
  </si>
  <si>
    <t>Mayikana</t>
  </si>
  <si>
    <t>12/05/2023</t>
  </si>
  <si>
    <t>Siyacela</t>
  </si>
  <si>
    <t>Sibusiso</t>
  </si>
  <si>
    <t>Jan</t>
  </si>
  <si>
    <t>Coetzee</t>
  </si>
  <si>
    <t>25/05/2023</t>
  </si>
  <si>
    <t>Cavalla Dorp</t>
  </si>
  <si>
    <t>Hendrik</t>
  </si>
  <si>
    <t>Vlink</t>
  </si>
  <si>
    <t>Engen</t>
  </si>
  <si>
    <t>John</t>
  </si>
  <si>
    <t>Kemp</t>
  </si>
  <si>
    <t>31/05/2024</t>
  </si>
  <si>
    <t>Lameez</t>
  </si>
  <si>
    <t>Carolissen</t>
  </si>
  <si>
    <t>25/05/2024</t>
  </si>
  <si>
    <t>Mmpule</t>
  </si>
  <si>
    <t>Mashale</t>
  </si>
  <si>
    <t>01/06/2023</t>
  </si>
  <si>
    <t>Hadji Ebrahim</t>
  </si>
  <si>
    <t>Denise</t>
  </si>
  <si>
    <t>Johannes</t>
  </si>
  <si>
    <t>Springfield</t>
  </si>
  <si>
    <t>Yoliswa</t>
  </si>
  <si>
    <t>Phithi</t>
  </si>
  <si>
    <t>01/07/2023</t>
  </si>
  <si>
    <t>30/06/2024</t>
  </si>
  <si>
    <t>Xoliswa</t>
  </si>
  <si>
    <t>Duba-Sipeliti</t>
  </si>
  <si>
    <t>Nowongile</t>
  </si>
  <si>
    <t>Yako</t>
  </si>
  <si>
    <t>Unathi</t>
  </si>
  <si>
    <t>Mangisa</t>
  </si>
  <si>
    <t>Scandal Wall</t>
  </si>
  <si>
    <t>Twasile</t>
  </si>
  <si>
    <t>Matthew</t>
  </si>
  <si>
    <t>Grace</t>
  </si>
  <si>
    <t>Princess Vlei</t>
  </si>
  <si>
    <t xml:space="preserve">Shiba </t>
  </si>
  <si>
    <t>Gomora</t>
  </si>
  <si>
    <t>Neliswa</t>
  </si>
  <si>
    <t>Sokhetye</t>
  </si>
  <si>
    <t>Olwethu</t>
  </si>
  <si>
    <t>Ngxata</t>
  </si>
  <si>
    <t xml:space="preserve">Candice </t>
  </si>
  <si>
    <t>Baker</t>
  </si>
  <si>
    <t>Mbete</t>
  </si>
  <si>
    <t>03/07/2023</t>
  </si>
  <si>
    <t>Madikizela (Mfuleni)</t>
  </si>
  <si>
    <t>Ndimphiwe</t>
  </si>
  <si>
    <t>Mdunyelwa</t>
  </si>
  <si>
    <t>06/07/2023</t>
  </si>
  <si>
    <t>Siyamthemba</t>
  </si>
  <si>
    <t>Nomvethe</t>
  </si>
  <si>
    <t>Lockdown (Phillipi)</t>
  </si>
  <si>
    <t>Phindile</t>
  </si>
  <si>
    <t>Fothoyi</t>
  </si>
  <si>
    <t>Ndamase</t>
  </si>
  <si>
    <t>Robert</t>
  </si>
  <si>
    <t>Fortuin</t>
  </si>
  <si>
    <t>Nonzuzo</t>
  </si>
  <si>
    <t>Daniso</t>
  </si>
  <si>
    <t>01/08/2023</t>
  </si>
  <si>
    <t>Yolisa</t>
  </si>
  <si>
    <t>Grifies</t>
  </si>
  <si>
    <t>Nomzamo</t>
  </si>
  <si>
    <t>Batula</t>
  </si>
  <si>
    <t>Marikana</t>
  </si>
  <si>
    <t>Pamella</t>
  </si>
  <si>
    <t>Mayile</t>
  </si>
  <si>
    <t>Nomhlaba</t>
  </si>
  <si>
    <t>Mantla</t>
  </si>
  <si>
    <t>Sitole</t>
  </si>
  <si>
    <t>Nolinda</t>
  </si>
  <si>
    <t>Madubela</t>
  </si>
  <si>
    <t>Linda</t>
  </si>
  <si>
    <t>Noyo</t>
  </si>
  <si>
    <t>Friffiths</t>
  </si>
  <si>
    <t>Thobeka</t>
  </si>
  <si>
    <t>Tobias</t>
  </si>
  <si>
    <t>Vetyumana</t>
  </si>
  <si>
    <t>Jeannette</t>
  </si>
  <si>
    <t>Vutelwa</t>
  </si>
  <si>
    <t>Nondenzeni</t>
  </si>
  <si>
    <t>Kostawuli</t>
  </si>
  <si>
    <t>Zandile</t>
  </si>
  <si>
    <t>Moshani</t>
  </si>
  <si>
    <t>Mchako</t>
  </si>
  <si>
    <t>Nompumezo</t>
  </si>
  <si>
    <t>Jaxa</t>
  </si>
  <si>
    <t>Thelela</t>
  </si>
  <si>
    <t>Thumeka</t>
  </si>
  <si>
    <t>Gcora</t>
  </si>
  <si>
    <t>Nomfuneko</t>
  </si>
  <si>
    <t>Nake</t>
  </si>
  <si>
    <t>Athi</t>
  </si>
  <si>
    <t>Mandi</t>
  </si>
  <si>
    <t>Hiliza</t>
  </si>
  <si>
    <t>Nokuzula</t>
  </si>
  <si>
    <t>Qolo</t>
  </si>
  <si>
    <t>Nomatamsanqa</t>
  </si>
  <si>
    <t>Matebeni</t>
  </si>
  <si>
    <t>21/08/2023</t>
  </si>
  <si>
    <t>Pandemic</t>
  </si>
  <si>
    <t>Phumla</t>
  </si>
  <si>
    <t>Valashiya</t>
  </si>
  <si>
    <t>Xolisa</t>
  </si>
  <si>
    <t>Mninzi</t>
  </si>
  <si>
    <t>01/09/2023</t>
  </si>
  <si>
    <t>Level 2 (Graceland)</t>
  </si>
  <si>
    <t>Nolitha</t>
  </si>
  <si>
    <t>Mphanda</t>
  </si>
  <si>
    <t>Pinki</t>
  </si>
  <si>
    <t>Mpayipheli</t>
  </si>
  <si>
    <t>Nosiphiwo</t>
  </si>
  <si>
    <t>Yola</t>
  </si>
  <si>
    <t>Tswina</t>
  </si>
  <si>
    <t>Philani</t>
  </si>
  <si>
    <t>Magude</t>
  </si>
  <si>
    <t>Apiwe</t>
  </si>
  <si>
    <t>Ntlombe</t>
  </si>
  <si>
    <t>Hlengiwe</t>
  </si>
  <si>
    <t>Nene</t>
  </si>
  <si>
    <t>Vuyani</t>
  </si>
  <si>
    <t>Kalawe</t>
  </si>
  <si>
    <t>Isiphile</t>
  </si>
  <si>
    <t>Sifumba</t>
  </si>
  <si>
    <t>Yanga</t>
  </si>
  <si>
    <t>Nomxinyana</t>
  </si>
  <si>
    <t>N</t>
  </si>
  <si>
    <t>Y</t>
  </si>
  <si>
    <t>6104090199088</t>
  </si>
  <si>
    <t>6208140257083</t>
  </si>
  <si>
    <t>7609200217082</t>
  </si>
  <si>
    <t>7303240246083</t>
  </si>
  <si>
    <t>9505170179088</t>
  </si>
  <si>
    <t>7202135853088</t>
  </si>
  <si>
    <t>8201056452085</t>
  </si>
  <si>
    <t>7511110728085</t>
  </si>
  <si>
    <t>6108215734083</t>
  </si>
  <si>
    <t>8402095927083</t>
  </si>
  <si>
    <t>7812285675089</t>
  </si>
  <si>
    <t>9306246140083</t>
  </si>
  <si>
    <t>8704080957086</t>
  </si>
  <si>
    <t>9309086131089</t>
  </si>
  <si>
    <t>6406166219082</t>
  </si>
  <si>
    <t>8403241130085</t>
  </si>
  <si>
    <t>8004011141086</t>
  </si>
  <si>
    <t>7506051372083</t>
  </si>
  <si>
    <t>7703271115083</t>
  </si>
  <si>
    <t>8309240581089</t>
  </si>
  <si>
    <t>7912180403080</t>
  </si>
  <si>
    <t>8508310446087</t>
  </si>
  <si>
    <t>8008101327083</t>
  </si>
  <si>
    <t>8404031198084</t>
  </si>
  <si>
    <t>7004010991086</t>
  </si>
  <si>
    <t>7903310506082</t>
  </si>
  <si>
    <t>8608030397089</t>
  </si>
  <si>
    <t>8210250941082</t>
  </si>
  <si>
    <t>8303037251087</t>
  </si>
  <si>
    <t>9903201025083</t>
  </si>
  <si>
    <t>8209131449083</t>
  </si>
  <si>
    <t>8302270712088</t>
  </si>
  <si>
    <t>8306061336080</t>
  </si>
  <si>
    <t>9402201606082</t>
  </si>
  <si>
    <t>8203140178080</t>
  </si>
  <si>
    <t>9312160820080</t>
  </si>
  <si>
    <t>8307251069085</t>
  </si>
  <si>
    <t>9301220393089</t>
  </si>
  <si>
    <t>8910090785082</t>
  </si>
  <si>
    <t>7906190979089</t>
  </si>
  <si>
    <t>7910151264085</t>
  </si>
  <si>
    <t>8310291009087</t>
  </si>
  <si>
    <t>7106101079083</t>
  </si>
  <si>
    <t>6512300267083</t>
  </si>
  <si>
    <t>7708101001080</t>
  </si>
  <si>
    <t>8007070089088</t>
  </si>
  <si>
    <t>7712290964082</t>
  </si>
  <si>
    <t>8603171189080</t>
  </si>
  <si>
    <t>8810160989087</t>
  </si>
  <si>
    <t>9411021170089</t>
  </si>
  <si>
    <t>9209171063082</t>
  </si>
  <si>
    <t>7206101531081</t>
  </si>
  <si>
    <t>9505160525084</t>
  </si>
  <si>
    <t>9409291226086</t>
  </si>
  <si>
    <t>8904081095080</t>
  </si>
  <si>
    <t>9508270711081</t>
  </si>
  <si>
    <t>7610260997084</t>
  </si>
  <si>
    <t>8001036219086</t>
  </si>
  <si>
    <t>8012200737085</t>
  </si>
  <si>
    <t>7010160871085</t>
  </si>
  <si>
    <t>7312261147088</t>
  </si>
  <si>
    <t>8607051144081</t>
  </si>
  <si>
    <t>8409201011082</t>
  </si>
  <si>
    <t>8502201187082</t>
  </si>
  <si>
    <t>8711161072081</t>
  </si>
  <si>
    <t>8106190991080</t>
  </si>
  <si>
    <t>8603130395083</t>
  </si>
  <si>
    <t>7404130833087</t>
  </si>
  <si>
    <t>8105060879086</t>
  </si>
  <si>
    <t>8007130760082</t>
  </si>
  <si>
    <t>8201150966089</t>
  </si>
  <si>
    <t>7308280810086</t>
  </si>
  <si>
    <t>8511100577087</t>
  </si>
  <si>
    <t>7905290735086</t>
  </si>
  <si>
    <t>8611260392085</t>
  </si>
  <si>
    <t>8211260586081</t>
  </si>
  <si>
    <t>7803070852082</t>
  </si>
  <si>
    <t>6611010805081</t>
  </si>
  <si>
    <t>7812240608082</t>
  </si>
  <si>
    <t>7708310628087</t>
  </si>
  <si>
    <t>8104140378086</t>
  </si>
  <si>
    <t>7510070545083</t>
  </si>
  <si>
    <t>8708141181081</t>
  </si>
  <si>
    <t>8712010125088</t>
  </si>
  <si>
    <t>7812060928083</t>
  </si>
  <si>
    <t>8709260437080</t>
  </si>
  <si>
    <t>8901231034084</t>
  </si>
  <si>
    <t>7206150957088</t>
  </si>
  <si>
    <t>7309170760084</t>
  </si>
  <si>
    <t>8406041387086</t>
  </si>
  <si>
    <t>8704041264085</t>
  </si>
  <si>
    <t>8801245773083</t>
  </si>
  <si>
    <t>8009091193089</t>
  </si>
  <si>
    <t>9607170465085</t>
  </si>
  <si>
    <t>8007020645082</t>
  </si>
  <si>
    <t>7002281405083</t>
  </si>
  <si>
    <t>7212281049084</t>
  </si>
  <si>
    <t>7009030116085</t>
  </si>
  <si>
    <t>8407041010082</t>
  </si>
  <si>
    <t>8704170393085</t>
  </si>
  <si>
    <t>7603261328086</t>
  </si>
  <si>
    <t>8709131021089</t>
  </si>
  <si>
    <t>8708071255087</t>
  </si>
  <si>
    <t>8209120712087</t>
  </si>
  <si>
    <t>7309240718088</t>
  </si>
  <si>
    <t>8604040387087</t>
  </si>
  <si>
    <t>8703091393083</t>
  </si>
  <si>
    <t>8302181060080</t>
  </si>
  <si>
    <t>7601190646081</t>
  </si>
  <si>
    <t>8711010779084</t>
  </si>
  <si>
    <t>9507081134087</t>
  </si>
  <si>
    <t>8504200012089</t>
  </si>
  <si>
    <t>8106265722089</t>
  </si>
  <si>
    <t>8905106277082</t>
  </si>
  <si>
    <t>7004150822083</t>
  </si>
  <si>
    <t>8608151327089</t>
  </si>
  <si>
    <t>7806161089084</t>
  </si>
  <si>
    <t>7909151214082</t>
  </si>
  <si>
    <t>7511040182080</t>
  </si>
  <si>
    <t>7601080572082</t>
  </si>
  <si>
    <t>7203140753081</t>
  </si>
  <si>
    <t>861085831086</t>
  </si>
  <si>
    <t>7809180776087</t>
  </si>
  <si>
    <t>7812270856082</t>
  </si>
  <si>
    <t>8211110935082</t>
  </si>
  <si>
    <t>8011111280086</t>
  </si>
  <si>
    <t>8710220821082</t>
  </si>
  <si>
    <t>8007090580082</t>
  </si>
  <si>
    <t>6912252289087</t>
  </si>
  <si>
    <t>7607270882082</t>
  </si>
  <si>
    <t>8110190584085</t>
  </si>
  <si>
    <t>8706061180083</t>
  </si>
  <si>
    <t>8710036016083</t>
  </si>
  <si>
    <t>7807230107089</t>
  </si>
  <si>
    <t>0104015151087</t>
  </si>
  <si>
    <t>7904110989080</t>
  </si>
  <si>
    <t>9801106007083</t>
  </si>
  <si>
    <t>9211215855085</t>
  </si>
  <si>
    <t>9108120684081</t>
  </si>
  <si>
    <t>7512281125085</t>
  </si>
  <si>
    <t>8611231014081</t>
  </si>
  <si>
    <t>9712021161089</t>
  </si>
  <si>
    <t>6906110816081</t>
  </si>
  <si>
    <t>7303220962089</t>
  </si>
  <si>
    <t>8102180926087</t>
  </si>
  <si>
    <t>8109030541081</t>
  </si>
  <si>
    <t>9412181236082</t>
  </si>
  <si>
    <t>7911130462089</t>
  </si>
  <si>
    <t>7911225630087</t>
  </si>
  <si>
    <t>9107276378084</t>
  </si>
  <si>
    <t>8805081014080</t>
  </si>
  <si>
    <t>8507310985086</t>
  </si>
  <si>
    <t>8409226403082</t>
  </si>
  <si>
    <t>9405106394085</t>
  </si>
  <si>
    <t>9008080764081</t>
  </si>
  <si>
    <t>9006056403080</t>
  </si>
  <si>
    <t>7211110813082</t>
  </si>
  <si>
    <t>7711160304080</t>
  </si>
  <si>
    <t>6812120846086</t>
  </si>
  <si>
    <t>8710180437085</t>
  </si>
  <si>
    <t>8502080749085</t>
  </si>
  <si>
    <t>8507071646083</t>
  </si>
  <si>
    <t>7604230632087</t>
  </si>
  <si>
    <t>9302091069089</t>
  </si>
  <si>
    <t>9609180851080</t>
  </si>
  <si>
    <t>9703271183089</t>
  </si>
  <si>
    <t>7112121188086</t>
  </si>
  <si>
    <t>9708116170084</t>
  </si>
  <si>
    <t>8804190890084</t>
  </si>
  <si>
    <t>8596260853088</t>
  </si>
  <si>
    <t>8910250935089</t>
  </si>
  <si>
    <t>9410050467085</t>
  </si>
  <si>
    <t>9503160411082</t>
  </si>
  <si>
    <t>9307121051080</t>
  </si>
  <si>
    <t>7406100815085</t>
  </si>
  <si>
    <t>7301115772084</t>
  </si>
  <si>
    <t>8506165941087</t>
  </si>
  <si>
    <t>9009021159084</t>
  </si>
  <si>
    <t>8102130441088</t>
  </si>
  <si>
    <t>8702201284083</t>
  </si>
  <si>
    <t>9306080417084</t>
  </si>
  <si>
    <t>0106200813082</t>
  </si>
  <si>
    <t>6502150810082</t>
  </si>
  <si>
    <t>7702110376088</t>
  </si>
  <si>
    <t>7903031539081</t>
  </si>
  <si>
    <t>7405015423084</t>
  </si>
  <si>
    <t>8908200358089</t>
  </si>
  <si>
    <t>8612241717085</t>
  </si>
  <si>
    <t>8903180995083</t>
  </si>
  <si>
    <t>7704215475088</t>
  </si>
  <si>
    <t>8001125870089</t>
  </si>
  <si>
    <t>8302040557086</t>
  </si>
  <si>
    <t>6807106122080</t>
  </si>
  <si>
    <t>9002150755087</t>
  </si>
  <si>
    <t>9006261693087</t>
  </si>
  <si>
    <t>8103076236086</t>
  </si>
  <si>
    <t>9302116121089</t>
  </si>
  <si>
    <t>7207300323080</t>
  </si>
  <si>
    <t>7809035210084</t>
  </si>
  <si>
    <t>9809080165082</t>
  </si>
  <si>
    <t>8701106314086</t>
  </si>
  <si>
    <t>9108140260086</t>
  </si>
  <si>
    <t>9906135448081</t>
  </si>
  <si>
    <t>8411241184085</t>
  </si>
  <si>
    <t>8011180772088</t>
  </si>
  <si>
    <t>0002200210082</t>
  </si>
  <si>
    <t>7205185679089</t>
  </si>
  <si>
    <t>7601115532085</t>
  </si>
  <si>
    <t>8712240946089</t>
  </si>
  <si>
    <t>6505260816089</t>
  </si>
  <si>
    <t>6910101486086</t>
  </si>
  <si>
    <t>7706220556083</t>
  </si>
  <si>
    <t>8804011108088</t>
  </si>
  <si>
    <t>6701115717081</t>
  </si>
  <si>
    <t>8402160390084</t>
  </si>
  <si>
    <t>9104236202082</t>
  </si>
  <si>
    <t>6610125058081</t>
  </si>
  <si>
    <t>8509206721088</t>
  </si>
  <si>
    <t>6709125900084</t>
  </si>
  <si>
    <t>9208270462088</t>
  </si>
  <si>
    <t>8504290819088</t>
  </si>
  <si>
    <t>840213039082</t>
  </si>
  <si>
    <t>7706250542086</t>
  </si>
  <si>
    <t>7310102609084</t>
  </si>
  <si>
    <t>7107060898083</t>
  </si>
  <si>
    <t>0306130761084</t>
  </si>
  <si>
    <t>8401011225085</t>
  </si>
  <si>
    <t>7708235127082</t>
  </si>
  <si>
    <t>8011180556085</t>
  </si>
  <si>
    <t>9110011348081</t>
  </si>
  <si>
    <t>9111170987081</t>
  </si>
  <si>
    <t>8812301020087</t>
  </si>
  <si>
    <t>8204020960084</t>
  </si>
  <si>
    <t>8905046199081</t>
  </si>
  <si>
    <t>9206020526081</t>
  </si>
  <si>
    <t>8809126576087</t>
  </si>
  <si>
    <t>8809051676084</t>
  </si>
  <si>
    <t>9207265764086</t>
  </si>
  <si>
    <t>8111101232087</t>
  </si>
  <si>
    <t>8201013578089</t>
  </si>
  <si>
    <t>8406090587081</t>
  </si>
  <si>
    <t>7611160349087</t>
  </si>
  <si>
    <t>8008060614083</t>
  </si>
  <si>
    <t>9203200498088</t>
  </si>
  <si>
    <t>7603110826082</t>
  </si>
  <si>
    <t>8912170210080</t>
  </si>
  <si>
    <t>7706110215089</t>
  </si>
  <si>
    <t>6704160750080</t>
  </si>
  <si>
    <t>8507161325085</t>
  </si>
  <si>
    <t>9012121641084</t>
  </si>
  <si>
    <t>8101100809084</t>
  </si>
  <si>
    <t>9108201030089</t>
  </si>
  <si>
    <t>7306101437089</t>
  </si>
  <si>
    <t>6407150828086</t>
  </si>
  <si>
    <t>8101090751080</t>
  </si>
  <si>
    <t>7501101287084</t>
  </si>
  <si>
    <t>7908080699082</t>
  </si>
  <si>
    <t>8910151284082</t>
  </si>
  <si>
    <t>8610111027080</t>
  </si>
  <si>
    <t>7204051153089</t>
  </si>
  <si>
    <t>7101140688085</t>
  </si>
  <si>
    <t>91112101224081</t>
  </si>
  <si>
    <t>9011275727087</t>
  </si>
  <si>
    <t>7605140436089</t>
  </si>
  <si>
    <t>8712261346086</t>
  </si>
  <si>
    <t>8806041026081</t>
  </si>
  <si>
    <t>8308210399084</t>
  </si>
  <si>
    <t>9804015702083</t>
  </si>
  <si>
    <t>8801050499089</t>
  </si>
  <si>
    <t>8105041090084</t>
  </si>
  <si>
    <t>8609065539082</t>
  </si>
  <si>
    <t>0301241070087</t>
  </si>
  <si>
    <t>9207140995087</t>
  </si>
  <si>
    <t>Project Expenditure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</si>
</sst>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&quot;* #,##0.00_-;\-&quot;R&quot;* #,##0.00_-;_-&quot;R&quot;* &quot;-&quot;??_-;_-@_-"/>
    <numFmt numFmtId="164" formatCode="_ &quot;R&quot;\ * #,##0.00_ ;_ &quot;R&quot;\ * \-#,##0.00_ ;_ &quot;R&quot;\ * &quot;-&quot;??_ ;_ @_ "/>
    <numFmt numFmtId="165" formatCode="dd\-mmm\-yyyy"/>
    <numFmt numFmtId="166" formatCode="dd\-mmmm\-yyyy"/>
    <numFmt numFmtId="167" formatCode="mmm\-yyyy"/>
  </numFmts>
  <fonts count="18" x14ac:knownFonts="1">
    <font>
      <sz val="10"/>
      <color theme="1"/>
      <name val="Arial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b/>
      <sz val="9"/>
      <color theme="1"/>
      <name val="Arial"/>
      <family val="2"/>
    </font>
    <font>
      <b/>
      <u/>
      <sz val="8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8"/>
      <color rgb="FFFF0000"/>
      <name val="Arial"/>
      <family val="2"/>
    </font>
    <font>
      <sz val="9"/>
      <color theme="1"/>
      <name val="Arial"/>
      <family val="2"/>
    </font>
    <font>
      <sz val="8"/>
      <color rgb="FF4F81BD"/>
      <name val="Arial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4"/>
      <name val="Arial"/>
      <family val="2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222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left"/>
    </xf>
    <xf numFmtId="0" fontId="2" fillId="0" borderId="0" xfId="0" applyFont="1" applyAlignment="1">
      <alignment horizontal="left" vertical="top"/>
    </xf>
    <xf numFmtId="0" fontId="2" fillId="0" borderId="5" xfId="0" applyFont="1" applyBorder="1" applyAlignment="1">
      <alignment horizontal="left"/>
    </xf>
    <xf numFmtId="0" fontId="5" fillId="0" borderId="0" xfId="0" applyFont="1"/>
    <xf numFmtId="0" fontId="2" fillId="0" borderId="0" xfId="0" applyFont="1" applyAlignment="1">
      <alignment vertical="top"/>
    </xf>
    <xf numFmtId="0" fontId="6" fillId="0" borderId="0" xfId="0" quotePrefix="1" applyFont="1" applyAlignment="1">
      <alignment horizontal="left"/>
    </xf>
    <xf numFmtId="0" fontId="2" fillId="0" borderId="5" xfId="0" applyFont="1" applyBorder="1" applyAlignment="1">
      <alignment vertical="top"/>
    </xf>
    <xf numFmtId="3" fontId="2" fillId="0" borderId="0" xfId="0" quotePrefix="1" applyNumberFormat="1" applyFont="1" applyAlignment="1">
      <alignment horizontal="left" vertical="top"/>
    </xf>
    <xf numFmtId="0" fontId="0" fillId="0" borderId="0" xfId="0" applyAlignment="1">
      <alignment horizontal="left"/>
    </xf>
    <xf numFmtId="0" fontId="2" fillId="0" borderId="0" xfId="0" quotePrefix="1" applyFont="1" applyAlignment="1">
      <alignment horizontal="left" vertical="top"/>
    </xf>
    <xf numFmtId="0" fontId="4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 vertical="top"/>
    </xf>
    <xf numFmtId="0" fontId="2" fillId="0" borderId="7" xfId="0" applyFont="1" applyBorder="1" applyAlignment="1">
      <alignment horizontal="center"/>
    </xf>
    <xf numFmtId="0" fontId="2" fillId="0" borderId="8" xfId="0" quotePrefix="1" applyFont="1" applyBorder="1" applyAlignment="1">
      <alignment vertical="top"/>
    </xf>
    <xf numFmtId="0" fontId="2" fillId="0" borderId="5" xfId="0" quotePrefix="1" applyFont="1" applyBorder="1" applyAlignment="1">
      <alignment vertical="top"/>
    </xf>
    <xf numFmtId="0" fontId="2" fillId="0" borderId="13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4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5" xfId="0" applyFont="1" applyBorder="1" applyAlignment="1">
      <alignment vertical="top"/>
    </xf>
    <xf numFmtId="0" fontId="2" fillId="0" borderId="14" xfId="0" applyFont="1" applyBorder="1" applyAlignment="1">
      <alignment vertical="top"/>
    </xf>
    <xf numFmtId="0" fontId="2" fillId="0" borderId="16" xfId="0" quotePrefix="1" applyFont="1" applyBorder="1" applyAlignment="1">
      <alignment horizontal="left"/>
    </xf>
    <xf numFmtId="0" fontId="2" fillId="0" borderId="6" xfId="0" applyFon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2" fillId="0" borderId="12" xfId="0" applyFont="1" applyBorder="1" applyAlignment="1">
      <alignment vertical="center"/>
    </xf>
    <xf numFmtId="0" fontId="2" fillId="0" borderId="18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11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vertical="top" wrapText="1"/>
    </xf>
    <xf numFmtId="0" fontId="2" fillId="0" borderId="16" xfId="0" applyFont="1" applyBorder="1" applyAlignment="1">
      <alignment horizontal="left"/>
    </xf>
    <xf numFmtId="0" fontId="2" fillId="0" borderId="8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2" fillId="0" borderId="5" xfId="0" applyFont="1" applyBorder="1" applyAlignment="1">
      <alignment vertical="top" wrapText="1"/>
    </xf>
    <xf numFmtId="0" fontId="2" fillId="0" borderId="17" xfId="0" applyFont="1" applyBorder="1" applyAlignment="1">
      <alignment horizontal="left"/>
    </xf>
    <xf numFmtId="0" fontId="2" fillId="0" borderId="12" xfId="0" applyFont="1" applyBorder="1" applyAlignment="1">
      <alignment vertical="top"/>
    </xf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vertical="top"/>
    </xf>
    <xf numFmtId="0" fontId="2" fillId="0" borderId="6" xfId="0" applyFont="1" applyBorder="1" applyAlignment="1">
      <alignment horizontal="left"/>
    </xf>
    <xf numFmtId="0" fontId="2" fillId="2" borderId="0" xfId="0" applyFont="1" applyFill="1" applyAlignment="1">
      <alignment horizontal="left" vertical="top"/>
    </xf>
    <xf numFmtId="0" fontId="0" fillId="2" borderId="0" xfId="0" applyFill="1"/>
    <xf numFmtId="0" fontId="0" fillId="2" borderId="0" xfId="0" applyFill="1" applyAlignment="1">
      <alignment horizontal="left"/>
    </xf>
    <xf numFmtId="0" fontId="6" fillId="2" borderId="0" xfId="0" quotePrefix="1" applyFont="1" applyFill="1" applyAlignment="1">
      <alignment horizontal="left"/>
    </xf>
    <xf numFmtId="0" fontId="2" fillId="2" borderId="0" xfId="0" quotePrefix="1" applyFont="1" applyFill="1" applyAlignment="1">
      <alignment horizontal="left" vertical="top"/>
    </xf>
    <xf numFmtId="3" fontId="2" fillId="2" borderId="0" xfId="0" quotePrefix="1" applyNumberFormat="1" applyFont="1" applyFill="1" applyAlignment="1">
      <alignment horizontal="left" vertical="top"/>
    </xf>
    <xf numFmtId="0" fontId="0" fillId="0" borderId="1" xfId="0" applyBorder="1" applyAlignment="1" applyProtection="1">
      <alignment horizontal="center"/>
      <protection locked="0"/>
    </xf>
    <xf numFmtId="0" fontId="4" fillId="0" borderId="28" xfId="0" applyFont="1" applyBorder="1" applyAlignment="1" applyProtection="1">
      <alignment horizontal="center" vertical="center"/>
      <protection locked="0"/>
    </xf>
    <xf numFmtId="0" fontId="4" fillId="0" borderId="9" xfId="0" applyFont="1" applyBorder="1" applyAlignment="1" applyProtection="1">
      <alignment horizontal="center" vertical="center"/>
      <protection locked="0"/>
    </xf>
    <xf numFmtId="0" fontId="4" fillId="0" borderId="30" xfId="0" applyFont="1" applyBorder="1" applyAlignment="1" applyProtection="1">
      <alignment horizontal="center" vertical="center"/>
      <protection locked="0"/>
    </xf>
    <xf numFmtId="0" fontId="4" fillId="0" borderId="29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0" fontId="4" fillId="0" borderId="32" xfId="0" applyFont="1" applyBorder="1" applyAlignment="1" applyProtection="1">
      <alignment horizontal="center" vertical="center"/>
      <protection locked="0"/>
    </xf>
    <xf numFmtId="0" fontId="4" fillId="0" borderId="9" xfId="0" quotePrefix="1" applyFont="1" applyBorder="1" applyAlignment="1" applyProtection="1">
      <alignment horizontal="center" vertical="center"/>
      <protection locked="0"/>
    </xf>
    <xf numFmtId="0" fontId="4" fillId="0" borderId="10" xfId="0" quotePrefix="1" applyFont="1" applyBorder="1" applyAlignment="1" applyProtection="1">
      <alignment horizontal="center" vertical="center"/>
      <protection locked="0"/>
    </xf>
    <xf numFmtId="165" fontId="11" fillId="4" borderId="50" xfId="0" applyNumberFormat="1" applyFont="1" applyFill="1" applyBorder="1" applyProtection="1">
      <protection locked="0"/>
    </xf>
    <xf numFmtId="14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13" fillId="0" borderId="0" xfId="0" applyFont="1"/>
    <xf numFmtId="0" fontId="12" fillId="0" borderId="0" xfId="0" applyFont="1" applyAlignment="1">
      <alignment horizontal="center"/>
    </xf>
    <xf numFmtId="0" fontId="10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 vertical="top"/>
      <protection locked="0"/>
    </xf>
    <xf numFmtId="4" fontId="0" fillId="0" borderId="0" xfId="0" applyNumberFormat="1"/>
    <xf numFmtId="0" fontId="9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Alignment="1" applyProtection="1">
      <alignment horizontal="right" vertical="center" wrapText="1"/>
      <protection locked="0"/>
    </xf>
    <xf numFmtId="0" fontId="0" fillId="0" borderId="1" xfId="0" applyBorder="1" applyProtection="1">
      <protection locked="0"/>
    </xf>
    <xf numFmtId="0" fontId="0" fillId="0" borderId="1" xfId="0" quotePrefix="1" applyBorder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64" fontId="0" fillId="0" borderId="0" xfId="2" applyFont="1" applyFill="1" applyBorder="1" applyProtection="1">
      <protection locked="0"/>
    </xf>
    <xf numFmtId="0" fontId="10" fillId="0" borderId="0" xfId="0" applyFont="1" applyProtection="1">
      <protection locked="0"/>
    </xf>
    <xf numFmtId="164" fontId="0" fillId="0" borderId="0" xfId="2" applyFont="1" applyProtection="1">
      <protection locked="0"/>
    </xf>
    <xf numFmtId="0" fontId="3" fillId="0" borderId="1" xfId="0" applyFont="1" applyBorder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9" fillId="0" borderId="0" xfId="0" applyFont="1" applyAlignment="1" applyProtection="1">
      <alignment horizontal="center" vertical="center"/>
      <protection hidden="1"/>
    </xf>
    <xf numFmtId="0" fontId="10" fillId="0" borderId="1" xfId="0" applyFont="1" applyBorder="1" applyAlignment="1" applyProtection="1">
      <alignment horizontal="center" vertical="center"/>
      <protection hidden="1"/>
    </xf>
    <xf numFmtId="164" fontId="10" fillId="0" borderId="1" xfId="2" applyFont="1" applyFill="1" applyBorder="1" applyAlignment="1" applyProtection="1">
      <alignment horizontal="right"/>
      <protection hidden="1"/>
    </xf>
    <xf numFmtId="164" fontId="10" fillId="0" borderId="1" xfId="2" applyFont="1" applyFill="1" applyBorder="1" applyProtection="1">
      <protection hidden="1"/>
    </xf>
    <xf numFmtId="0" fontId="5" fillId="0" borderId="0" xfId="0" applyFont="1" applyAlignment="1" applyProtection="1">
      <alignment horizontal="center" vertical="center"/>
      <protection hidden="1"/>
    </xf>
    <xf numFmtId="44" fontId="5" fillId="0" borderId="0" xfId="2" applyNumberFormat="1" applyFont="1" applyAlignment="1" applyProtection="1">
      <alignment horizontal="right"/>
      <protection hidden="1"/>
    </xf>
    <xf numFmtId="164" fontId="5" fillId="0" borderId="0" xfId="2" applyFont="1" applyProtection="1">
      <protection hidden="1"/>
    </xf>
    <xf numFmtId="0" fontId="14" fillId="3" borderId="49" xfId="0" applyFont="1" applyFill="1" applyBorder="1" applyAlignment="1" applyProtection="1">
      <alignment horizontal="left" vertical="top" wrapText="1" readingOrder="1"/>
      <protection locked="0" hidden="1"/>
    </xf>
    <xf numFmtId="1" fontId="10" fillId="0" borderId="1" xfId="0" applyNumberFormat="1" applyFont="1" applyBorder="1" applyAlignment="1" applyProtection="1">
      <alignment horizontal="center"/>
      <protection locked="0" hidden="1"/>
    </xf>
    <xf numFmtId="0" fontId="15" fillId="0" borderId="1" xfId="0" applyFont="1" applyBorder="1" applyProtection="1">
      <protection locked="0" hidden="1"/>
    </xf>
    <xf numFmtId="0" fontId="10" fillId="0" borderId="1" xfId="0" applyFont="1" applyBorder="1" applyProtection="1">
      <protection locked="0" hidden="1"/>
    </xf>
    <xf numFmtId="0" fontId="10" fillId="0" borderId="1" xfId="0" applyFont="1" applyBorder="1" applyAlignment="1" applyProtection="1">
      <alignment horizontal="center" vertical="center"/>
      <protection locked="0" hidden="1"/>
    </xf>
    <xf numFmtId="0" fontId="2" fillId="0" borderId="1" xfId="0" applyFont="1" applyBorder="1" applyAlignment="1" applyProtection="1">
      <alignment horizont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locked="0"/>
    </xf>
    <xf numFmtId="167" fontId="0" fillId="0" borderId="0" xfId="0" applyNumberFormat="1"/>
    <xf numFmtId="0" fontId="16" fillId="0" borderId="0" xfId="0" applyFont="1" applyAlignment="1">
      <alignment vertical="top"/>
    </xf>
    <xf numFmtId="167" fontId="2" fillId="0" borderId="0" xfId="0" applyNumberFormat="1" applyFont="1"/>
    <xf numFmtId="4" fontId="2" fillId="0" borderId="0" xfId="0" applyNumberFormat="1" applyFont="1" applyAlignment="1">
      <alignment vertical="top"/>
    </xf>
    <xf numFmtId="4" fontId="2" fillId="0" borderId="0" xfId="0" applyNumberFormat="1" applyFont="1"/>
    <xf numFmtId="4" fontId="2" fillId="0" borderId="5" xfId="0" applyNumberFormat="1" applyFont="1" applyBorder="1" applyAlignment="1">
      <alignment vertical="top"/>
    </xf>
    <xf numFmtId="0" fontId="2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center" vertical="center"/>
      <protection hidden="1"/>
    </xf>
    <xf numFmtId="0" fontId="2" fillId="0" borderId="22" xfId="0" applyFont="1" applyBorder="1" applyProtection="1">
      <protection hidden="1"/>
    </xf>
    <xf numFmtId="0" fontId="2" fillId="0" borderId="19" xfId="0" applyFont="1" applyBorder="1" applyProtection="1">
      <protection hidden="1"/>
    </xf>
    <xf numFmtId="0" fontId="2" fillId="0" borderId="0" xfId="0" applyFont="1" applyProtection="1">
      <protection hidden="1"/>
    </xf>
    <xf numFmtId="0" fontId="4" fillId="0" borderId="13" xfId="0" applyFont="1" applyBorder="1" applyAlignment="1" applyProtection="1">
      <alignment horizontal="left"/>
      <protection hidden="1"/>
    </xf>
    <xf numFmtId="0" fontId="4" fillId="0" borderId="14" xfId="0" applyFont="1" applyBorder="1" applyAlignment="1" applyProtection="1">
      <alignment horizontal="left"/>
      <protection hidden="1"/>
    </xf>
    <xf numFmtId="0" fontId="4" fillId="0" borderId="14" xfId="0" applyFont="1" applyBorder="1" applyProtection="1">
      <protection hidden="1"/>
    </xf>
    <xf numFmtId="0" fontId="2" fillId="0" borderId="14" xfId="0" applyFont="1" applyBorder="1" applyProtection="1">
      <protection hidden="1"/>
    </xf>
    <xf numFmtId="0" fontId="2" fillId="0" borderId="2" xfId="0" applyFont="1" applyBorder="1" applyProtection="1">
      <protection hidden="1"/>
    </xf>
    <xf numFmtId="0" fontId="0" fillId="0" borderId="14" xfId="0" applyBorder="1" applyProtection="1">
      <protection hidden="1"/>
    </xf>
    <xf numFmtId="0" fontId="2" fillId="0" borderId="14" xfId="0" applyFont="1" applyBorder="1" applyAlignment="1" applyProtection="1">
      <alignment horizontal="left"/>
      <protection hidden="1"/>
    </xf>
    <xf numFmtId="0" fontId="2" fillId="0" borderId="15" xfId="0" applyFont="1" applyBorder="1" applyAlignment="1" applyProtection="1">
      <alignment horizontal="left"/>
      <protection hidden="1"/>
    </xf>
    <xf numFmtId="0" fontId="2" fillId="0" borderId="3" xfId="0" applyFont="1" applyBorder="1" applyAlignment="1" applyProtection="1">
      <alignment horizontal="left"/>
      <protection hidden="1"/>
    </xf>
    <xf numFmtId="0" fontId="2" fillId="0" borderId="17" xfId="0" applyFont="1" applyBorder="1" applyProtection="1">
      <protection hidden="1"/>
    </xf>
    <xf numFmtId="0" fontId="2" fillId="0" borderId="21" xfId="0" applyFont="1" applyBorder="1" applyProtection="1">
      <protection hidden="1"/>
    </xf>
    <xf numFmtId="0" fontId="2" fillId="0" borderId="41" xfId="0" applyFont="1" applyBorder="1" applyAlignment="1" applyProtection="1">
      <alignment horizontal="center" vertical="center"/>
      <protection hidden="1"/>
    </xf>
    <xf numFmtId="0" fontId="2" fillId="0" borderId="51" xfId="0" applyFont="1" applyBorder="1" applyAlignment="1" applyProtection="1">
      <alignment horizontal="center" vertical="center"/>
      <protection hidden="1"/>
    </xf>
    <xf numFmtId="0" fontId="2" fillId="0" borderId="34" xfId="0" applyFont="1" applyBorder="1" applyAlignment="1" applyProtection="1">
      <alignment horizontal="center" vertical="center"/>
      <protection hidden="1"/>
    </xf>
    <xf numFmtId="0" fontId="2" fillId="0" borderId="33" xfId="0" applyFont="1" applyBorder="1" applyAlignment="1" applyProtection="1">
      <alignment horizontal="center" vertical="center"/>
      <protection hidden="1"/>
    </xf>
    <xf numFmtId="0" fontId="2" fillId="0" borderId="39" xfId="0" applyFont="1" applyBorder="1" applyAlignment="1" applyProtection="1">
      <alignment horizontal="center" vertical="center"/>
      <protection hidden="1"/>
    </xf>
    <xf numFmtId="0" fontId="2" fillId="0" borderId="35" xfId="0" applyFont="1" applyBorder="1" applyAlignment="1" applyProtection="1">
      <alignment horizontal="center" vertical="center"/>
      <protection hidden="1"/>
    </xf>
    <xf numFmtId="4" fontId="2" fillId="0" borderId="0" xfId="0" applyNumberFormat="1" applyFont="1" applyProtection="1">
      <protection locked="0"/>
    </xf>
    <xf numFmtId="4" fontId="2" fillId="0" borderId="0" xfId="0" applyNumberFormat="1" applyFont="1" applyAlignment="1" applyProtection="1">
      <alignment horizontal="left" vertical="top"/>
      <protection locked="0"/>
    </xf>
    <xf numFmtId="4" fontId="4" fillId="0" borderId="0" xfId="0" applyNumberFormat="1" applyFont="1" applyProtection="1">
      <protection locked="0"/>
    </xf>
    <xf numFmtId="4" fontId="2" fillId="0" borderId="0" xfId="0" applyNumberFormat="1" applyFont="1" applyAlignment="1" applyProtection="1">
      <alignment vertical="top"/>
      <protection locked="0"/>
    </xf>
    <xf numFmtId="167" fontId="16" fillId="0" borderId="0" xfId="0" applyNumberFormat="1" applyFont="1"/>
    <xf numFmtId="0" fontId="16" fillId="0" borderId="0" xfId="0" applyFont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hidden="1"/>
    </xf>
    <xf numFmtId="0" fontId="4" fillId="0" borderId="26" xfId="0" applyFont="1" applyBorder="1" applyAlignment="1" applyProtection="1">
      <alignment horizontal="center"/>
      <protection hidden="1"/>
    </xf>
    <xf numFmtId="0" fontId="2" fillId="0" borderId="23" xfId="0" applyFont="1" applyBorder="1" applyAlignment="1" applyProtection="1">
      <alignment horizontal="center"/>
      <protection hidden="1"/>
    </xf>
    <xf numFmtId="0" fontId="2" fillId="0" borderId="25" xfId="0" applyFont="1" applyBorder="1" applyAlignment="1" applyProtection="1">
      <alignment horizontal="center"/>
      <protection hidden="1"/>
    </xf>
    <xf numFmtId="0" fontId="4" fillId="0" borderId="47" xfId="0" applyFont="1" applyBorder="1" applyAlignment="1" applyProtection="1">
      <alignment horizontal="center"/>
      <protection hidden="1"/>
    </xf>
    <xf numFmtId="0" fontId="4" fillId="0" borderId="31" xfId="0" applyFont="1" applyBorder="1" applyAlignment="1" applyProtection="1">
      <alignment horizontal="center"/>
      <protection hidden="1"/>
    </xf>
    <xf numFmtId="0" fontId="2" fillId="0" borderId="23" xfId="0" applyFont="1" applyBorder="1" applyAlignment="1" applyProtection="1">
      <alignment horizontal="left"/>
      <protection hidden="1"/>
    </xf>
    <xf numFmtId="0" fontId="2" fillId="0" borderId="24" xfId="0" applyFont="1" applyBorder="1" applyAlignment="1" applyProtection="1">
      <alignment horizontal="left"/>
      <protection hidden="1"/>
    </xf>
    <xf numFmtId="0" fontId="2" fillId="0" borderId="25" xfId="0" applyFont="1" applyBorder="1" applyAlignment="1" applyProtection="1">
      <alignment horizontal="left"/>
      <protection hidden="1"/>
    </xf>
    <xf numFmtId="0" fontId="7" fillId="0" borderId="0" xfId="0" applyFont="1" applyAlignment="1">
      <alignment horizontal="center"/>
    </xf>
    <xf numFmtId="0" fontId="2" fillId="0" borderId="17" xfId="0" applyFont="1" applyBorder="1"/>
    <xf numFmtId="0" fontId="2" fillId="0" borderId="0" xfId="0" applyFont="1"/>
    <xf numFmtId="0" fontId="2" fillId="0" borderId="21" xfId="0" applyFont="1" applyBorder="1"/>
    <xf numFmtId="0" fontId="4" fillId="0" borderId="15" xfId="0" applyFont="1" applyBorder="1" applyAlignment="1" applyProtection="1">
      <alignment horizontal="left" vertical="center" wrapText="1"/>
      <protection locked="0"/>
    </xf>
    <xf numFmtId="0" fontId="2" fillId="0" borderId="14" xfId="0" applyFont="1" applyBorder="1" applyAlignment="1" applyProtection="1">
      <alignment horizontal="left" vertical="center" wrapText="1"/>
      <protection locked="0"/>
    </xf>
    <xf numFmtId="0" fontId="2" fillId="0" borderId="2" xfId="0" applyFont="1" applyBorder="1" applyAlignment="1" applyProtection="1">
      <alignment horizontal="left" vertical="center" wrapText="1"/>
      <protection locked="0"/>
    </xf>
    <xf numFmtId="0" fontId="2" fillId="0" borderId="8" xfId="0" applyFont="1" applyBorder="1" applyAlignment="1" applyProtection="1">
      <alignment horizontal="left" vertical="center" wrapText="1"/>
      <protection locked="0"/>
    </xf>
    <xf numFmtId="0" fontId="2" fillId="0" borderId="5" xfId="0" applyFont="1" applyBorder="1" applyAlignment="1" applyProtection="1">
      <alignment horizontal="left" vertical="center" wrapText="1"/>
      <protection locked="0"/>
    </xf>
    <xf numFmtId="0" fontId="2" fillId="0" borderId="6" xfId="0" applyFont="1" applyBorder="1" applyAlignment="1" applyProtection="1">
      <alignment horizontal="left" vertical="center" wrapText="1"/>
      <protection locked="0"/>
    </xf>
    <xf numFmtId="0" fontId="4" fillId="0" borderId="23" xfId="0" applyFont="1" applyBorder="1" applyAlignment="1" applyProtection="1">
      <alignment horizontal="left" vertical="center"/>
      <protection locked="0"/>
    </xf>
    <xf numFmtId="0" fontId="4" fillId="0" borderId="24" xfId="0" applyFont="1" applyBorder="1" applyAlignment="1" applyProtection="1">
      <alignment horizontal="left" vertical="center"/>
      <protection locked="0"/>
    </xf>
    <xf numFmtId="0" fontId="4" fillId="0" borderId="25" xfId="0" applyFont="1" applyBorder="1" applyAlignment="1" applyProtection="1">
      <alignment horizontal="left" vertical="center"/>
      <protection locked="0"/>
    </xf>
    <xf numFmtId="0" fontId="5" fillId="0" borderId="15" xfId="0" applyFont="1" applyBorder="1" applyAlignment="1" applyProtection="1">
      <alignment horizontal="left" vertical="center" wrapText="1"/>
      <protection locked="0"/>
    </xf>
    <xf numFmtId="0" fontId="5" fillId="0" borderId="14" xfId="0" applyFont="1" applyBorder="1" applyAlignment="1" applyProtection="1">
      <alignment horizontal="left" vertical="center" wrapText="1"/>
      <protection locked="0"/>
    </xf>
    <xf numFmtId="0" fontId="5" fillId="0" borderId="3" xfId="0" applyFont="1" applyBorder="1" applyAlignment="1" applyProtection="1">
      <alignment horizontal="left" vertical="center" wrapText="1"/>
      <protection locked="0"/>
    </xf>
    <xf numFmtId="0" fontId="5" fillId="0" borderId="8" xfId="0" applyFont="1" applyBorder="1" applyAlignment="1" applyProtection="1">
      <alignment horizontal="left" vertical="center" wrapText="1"/>
      <protection locked="0"/>
    </xf>
    <xf numFmtId="0" fontId="5" fillId="0" borderId="5" xfId="0" applyFont="1" applyBorder="1" applyAlignment="1" applyProtection="1">
      <alignment horizontal="left" vertical="center" wrapText="1"/>
      <protection locked="0"/>
    </xf>
    <xf numFmtId="0" fontId="5" fillId="0" borderId="44" xfId="0" applyFont="1" applyBorder="1" applyAlignment="1" applyProtection="1">
      <alignment horizontal="left" vertical="center" wrapText="1"/>
      <protection locked="0"/>
    </xf>
    <xf numFmtId="0" fontId="2" fillId="0" borderId="24" xfId="0" applyFont="1" applyBorder="1" applyAlignment="1" applyProtection="1">
      <alignment horizontal="left" vertical="center"/>
      <protection locked="0"/>
    </xf>
    <xf numFmtId="0" fontId="2" fillId="0" borderId="45" xfId="0" applyFont="1" applyBorder="1" applyAlignment="1" applyProtection="1">
      <alignment horizontal="left" vertical="center"/>
      <protection locked="0"/>
    </xf>
    <xf numFmtId="49" fontId="1" fillId="0" borderId="11" xfId="1" applyNumberFormat="1" applyFill="1" applyBorder="1" applyAlignment="1" applyProtection="1">
      <alignment horizontal="left" vertical="center" wrapText="1"/>
      <protection locked="0"/>
    </xf>
    <xf numFmtId="49" fontId="2" fillId="0" borderId="4" xfId="0" applyNumberFormat="1" applyFont="1" applyBorder="1" applyAlignment="1" applyProtection="1">
      <alignment horizontal="left" vertical="center" wrapText="1"/>
      <protection locked="0"/>
    </xf>
    <xf numFmtId="49" fontId="2" fillId="0" borderId="46" xfId="0" applyNumberFormat="1" applyFont="1" applyBorder="1" applyAlignment="1" applyProtection="1">
      <alignment horizontal="left" vertical="center" wrapText="1"/>
      <protection locked="0"/>
    </xf>
    <xf numFmtId="49" fontId="2" fillId="0" borderId="8" xfId="0" applyNumberFormat="1" applyFont="1" applyBorder="1" applyAlignment="1" applyProtection="1">
      <alignment horizontal="left" vertical="center" wrapText="1"/>
      <protection locked="0"/>
    </xf>
    <xf numFmtId="49" fontId="2" fillId="0" borderId="5" xfId="0" applyNumberFormat="1" applyFont="1" applyBorder="1" applyAlignment="1" applyProtection="1">
      <alignment horizontal="left" vertical="center" wrapText="1"/>
      <protection locked="0"/>
    </xf>
    <xf numFmtId="49" fontId="2" fillId="0" borderId="44" xfId="0" applyNumberFormat="1" applyFont="1" applyBorder="1" applyAlignment="1" applyProtection="1">
      <alignment horizontal="left" vertical="center" wrapText="1"/>
      <protection locked="0"/>
    </xf>
    <xf numFmtId="0" fontId="2" fillId="0" borderId="11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4" fillId="0" borderId="11" xfId="0" applyFont="1" applyBorder="1" applyAlignment="1" applyProtection="1">
      <alignment horizontal="left" vertical="center" wrapText="1"/>
      <protection locked="0"/>
    </xf>
    <xf numFmtId="0" fontId="4" fillId="0" borderId="4" xfId="0" applyFont="1" applyBorder="1" applyAlignment="1" applyProtection="1">
      <alignment horizontal="left" vertical="center" wrapText="1"/>
      <protection locked="0"/>
    </xf>
    <xf numFmtId="0" fontId="4" fillId="0" borderId="20" xfId="0" applyFont="1" applyBorder="1" applyAlignment="1" applyProtection="1">
      <alignment horizontal="left" vertical="center" wrapText="1"/>
      <protection locked="0"/>
    </xf>
    <xf numFmtId="0" fontId="4" fillId="0" borderId="8" xfId="0" applyFont="1" applyBorder="1" applyAlignment="1" applyProtection="1">
      <alignment horizontal="left" vertical="center" wrapText="1"/>
      <protection locked="0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2" fillId="0" borderId="48" xfId="0" applyFont="1" applyBorder="1" applyAlignment="1" applyProtection="1">
      <alignment horizontal="center"/>
      <protection hidden="1"/>
    </xf>
    <xf numFmtId="0" fontId="2" fillId="0" borderId="1" xfId="0" applyFont="1" applyBorder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4" fillId="0" borderId="42" xfId="0" applyFont="1" applyBorder="1" applyAlignment="1" applyProtection="1">
      <alignment horizontal="center"/>
      <protection hidden="1"/>
    </xf>
    <xf numFmtId="0" fontId="4" fillId="0" borderId="43" xfId="0" applyFont="1" applyBorder="1" applyAlignment="1" applyProtection="1">
      <alignment horizontal="center" vertical="center"/>
      <protection hidden="1"/>
    </xf>
    <xf numFmtId="0" fontId="4" fillId="0" borderId="36" xfId="0" applyFont="1" applyBorder="1" applyAlignment="1" applyProtection="1">
      <alignment horizontal="center" vertical="center"/>
      <protection hidden="1"/>
    </xf>
    <xf numFmtId="0" fontId="2" fillId="0" borderId="40" xfId="0" applyFont="1" applyBorder="1" applyAlignment="1" applyProtection="1">
      <alignment horizontal="center"/>
      <protection hidden="1"/>
    </xf>
    <xf numFmtId="0" fontId="2" fillId="0" borderId="35" xfId="0" applyFont="1" applyBorder="1" applyAlignment="1" applyProtection="1">
      <alignment horizontal="center"/>
      <protection hidden="1"/>
    </xf>
    <xf numFmtId="0" fontId="2" fillId="0" borderId="39" xfId="0" applyFont="1" applyBorder="1" applyAlignment="1" applyProtection="1">
      <alignment horizontal="center"/>
      <protection hidden="1"/>
    </xf>
    <xf numFmtId="0" fontId="4" fillId="0" borderId="37" xfId="0" applyFont="1" applyBorder="1" applyAlignment="1" applyProtection="1">
      <alignment horizontal="center" vertical="center"/>
      <protection hidden="1"/>
    </xf>
    <xf numFmtId="0" fontId="4" fillId="0" borderId="38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right" vertical="center" wrapText="1"/>
      <protection locked="0"/>
    </xf>
    <xf numFmtId="0" fontId="3" fillId="0" borderId="4" xfId="0" applyFont="1" applyBorder="1" applyAlignment="1" applyProtection="1">
      <alignment horizontal="right" vertical="center" wrapText="1"/>
      <protection locked="0"/>
    </xf>
    <xf numFmtId="0" fontId="3" fillId="0" borderId="8" xfId="0" applyFont="1" applyBorder="1" applyAlignment="1" applyProtection="1">
      <alignment horizontal="right" vertical="center" wrapText="1"/>
      <protection locked="0"/>
    </xf>
    <xf numFmtId="0" fontId="3" fillId="0" borderId="5" xfId="0" applyFont="1" applyBorder="1" applyAlignment="1" applyProtection="1">
      <alignment horizontal="right" vertical="center" wrapText="1"/>
      <protection locked="0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right" vertical="center" wrapText="1"/>
      <protection locked="0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 vertical="center"/>
      <protection hidden="1"/>
    </xf>
  </cellXfs>
  <cellStyles count="3">
    <cellStyle name="Currency" xfId="2" builtinId="4"/>
    <cellStyle name="Hyperlink" xfId="1" builtinId="8"/>
    <cellStyle name="Normal" xfId="0" builtinId="0"/>
  </cellStyles>
  <dxfs count="13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</dxfs>
  <tableStyles count="0" defaultTableStyle="TableStyleMedium2" defaultPivotStyle="PivotStyleLight16"/>
  <colors>
    <mruColors>
      <color rgb="FF4F81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0</xdr:row>
      <xdr:rowOff>0</xdr:rowOff>
    </xdr:from>
    <xdr:to>
      <xdr:col>37</xdr:col>
      <xdr:colOff>126755</xdr:colOff>
      <xdr:row>3</xdr:row>
      <xdr:rowOff>135547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750" y="0"/>
          <a:ext cx="1793630" cy="697522"/>
        </a:xfrm>
        <a:prstGeom prst="rect">
          <a:avLst/>
        </a:prstGeom>
      </xdr:spPr>
    </xdr:pic>
    <xdr:clientData/>
  </xdr:twoCellAnchor>
  <xdr:twoCellAnchor editAs="absolute">
    <xdr:from>
      <xdr:col>39</xdr:col>
      <xdr:colOff>866</xdr:colOff>
      <xdr:row>1</xdr:row>
      <xdr:rowOff>6928</xdr:rowOff>
    </xdr:from>
    <xdr:to>
      <xdr:col>40</xdr:col>
      <xdr:colOff>866</xdr:colOff>
      <xdr:row>4</xdr:row>
      <xdr:rowOff>6927</xdr:rowOff>
    </xdr:to>
    <xdr:sp macro="" textlink="">
      <xdr:nvSpPr>
        <xdr:cNvPr id="3" name="Callout: Up Arrow 2">
          <a:extLst>
            <a:ext uri="{FF2B5EF4-FFF2-40B4-BE49-F238E27FC236}">
              <a16:creationId xmlns:a16="http://schemas.microsoft.com/office/drawing/2014/main" id="{0810A88D-930C-030B-F728-C86AF51948C2}"/>
            </a:ext>
          </a:extLst>
        </xdr:cNvPr>
        <xdr:cNvSpPr/>
      </xdr:nvSpPr>
      <xdr:spPr>
        <a:xfrm>
          <a:off x="9820275" y="206087"/>
          <a:ext cx="779318" cy="528204"/>
        </a:xfrm>
        <a:prstGeom prst="upArrowCallout">
          <a:avLst/>
        </a:prstGeom>
        <a:solidFill>
          <a:srgbClr val="4F81BD">
            <a:alpha val="50196"/>
          </a:srgb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en-ZA" sz="900">
              <a:solidFill>
                <a:schemeClr val="tx2"/>
              </a:solidFill>
            </a:rPr>
            <a:t>Select</a:t>
          </a:r>
          <a:r>
            <a:rPr lang="en-ZA" sz="900" baseline="0">
              <a:solidFill>
                <a:schemeClr val="tx2"/>
              </a:solidFill>
            </a:rPr>
            <a:t> your date </a:t>
          </a:r>
          <a:endParaRPr lang="en-ZA" sz="900">
            <a:solidFill>
              <a:schemeClr val="tx2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12</xdr:col>
      <xdr:colOff>202955</xdr:colOff>
      <xdr:row>3</xdr:row>
      <xdr:rowOff>135547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3E052C-E980-41B5-BD3F-943E87F6C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0"/>
          <a:ext cx="1793630" cy="697522"/>
        </a:xfrm>
        <a:prstGeom prst="rect">
          <a:avLst/>
        </a:prstGeom>
      </xdr:spPr>
    </xdr:pic>
    <xdr:clientData/>
  </xdr:twoCellAnchor>
  <xdr:twoCellAnchor editAs="oneCell">
    <xdr:from>
      <xdr:col>8</xdr:col>
      <xdr:colOff>186825</xdr:colOff>
      <xdr:row>30</xdr:row>
      <xdr:rowOff>137317</xdr:rowOff>
    </xdr:from>
    <xdr:to>
      <xdr:col>10</xdr:col>
      <xdr:colOff>0</xdr:colOff>
      <xdr:row>31</xdr:row>
      <xdr:rowOff>276225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CBD762E-916E-42D9-81D1-AD7EDEB9C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0200" y="5480842"/>
          <a:ext cx="1080000" cy="4818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12</xdr:col>
      <xdr:colOff>202955</xdr:colOff>
      <xdr:row>3</xdr:row>
      <xdr:rowOff>135547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41FE6E-F829-4A55-BB58-CA37D8A79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6925" y="0"/>
          <a:ext cx="1793630" cy="697522"/>
        </a:xfrm>
        <a:prstGeom prst="rect">
          <a:avLst/>
        </a:prstGeom>
      </xdr:spPr>
    </xdr:pic>
    <xdr:clientData/>
  </xdr:twoCellAnchor>
  <xdr:twoCellAnchor editAs="oneCell">
    <xdr:from>
      <xdr:col>8</xdr:col>
      <xdr:colOff>186825</xdr:colOff>
      <xdr:row>30</xdr:row>
      <xdr:rowOff>137317</xdr:rowOff>
    </xdr:from>
    <xdr:to>
      <xdr:col>10</xdr:col>
      <xdr:colOff>0</xdr:colOff>
      <xdr:row>31</xdr:row>
      <xdr:rowOff>276225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98B0D24-42FF-48A7-81C9-B4505DDCF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925" y="5480842"/>
          <a:ext cx="1080000" cy="48180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12</xdr:col>
      <xdr:colOff>202955</xdr:colOff>
      <xdr:row>3</xdr:row>
      <xdr:rowOff>135547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AE11CF1-6E04-40F6-AD16-83A97859B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6925" y="0"/>
          <a:ext cx="1793630" cy="697522"/>
        </a:xfrm>
        <a:prstGeom prst="rect">
          <a:avLst/>
        </a:prstGeom>
      </xdr:spPr>
    </xdr:pic>
    <xdr:clientData/>
  </xdr:twoCellAnchor>
  <xdr:twoCellAnchor editAs="oneCell">
    <xdr:from>
      <xdr:col>8</xdr:col>
      <xdr:colOff>186825</xdr:colOff>
      <xdr:row>30</xdr:row>
      <xdr:rowOff>137317</xdr:rowOff>
    </xdr:from>
    <xdr:to>
      <xdr:col>10</xdr:col>
      <xdr:colOff>0</xdr:colOff>
      <xdr:row>31</xdr:row>
      <xdr:rowOff>276225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435F225-4327-48CB-846F-C9A8F99C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925" y="5480842"/>
          <a:ext cx="1080000" cy="4818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12</xdr:col>
      <xdr:colOff>202955</xdr:colOff>
      <xdr:row>3</xdr:row>
      <xdr:rowOff>135547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904457-52C9-4EAA-873C-2D9A2C14B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6925" y="0"/>
          <a:ext cx="1793630" cy="697522"/>
        </a:xfrm>
        <a:prstGeom prst="rect">
          <a:avLst/>
        </a:prstGeom>
      </xdr:spPr>
    </xdr:pic>
    <xdr:clientData/>
  </xdr:twoCellAnchor>
  <xdr:twoCellAnchor editAs="oneCell">
    <xdr:from>
      <xdr:col>8</xdr:col>
      <xdr:colOff>186825</xdr:colOff>
      <xdr:row>30</xdr:row>
      <xdr:rowOff>137317</xdr:rowOff>
    </xdr:from>
    <xdr:to>
      <xdr:col>10</xdr:col>
      <xdr:colOff>0</xdr:colOff>
      <xdr:row>31</xdr:row>
      <xdr:rowOff>276225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D8B4B66-E720-4EE2-B2A9-8D2AC4BB2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925" y="5480842"/>
          <a:ext cx="1080000" cy="4818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12</xdr:col>
      <xdr:colOff>202955</xdr:colOff>
      <xdr:row>3</xdr:row>
      <xdr:rowOff>135547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208BF-7315-46FB-B35C-6509902DC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6925" y="0"/>
          <a:ext cx="1793630" cy="697522"/>
        </a:xfrm>
        <a:prstGeom prst="rect">
          <a:avLst/>
        </a:prstGeom>
      </xdr:spPr>
    </xdr:pic>
    <xdr:clientData/>
  </xdr:twoCellAnchor>
  <xdr:twoCellAnchor editAs="oneCell">
    <xdr:from>
      <xdr:col>8</xdr:col>
      <xdr:colOff>186825</xdr:colOff>
      <xdr:row>30</xdr:row>
      <xdr:rowOff>137317</xdr:rowOff>
    </xdr:from>
    <xdr:to>
      <xdr:col>10</xdr:col>
      <xdr:colOff>0</xdr:colOff>
      <xdr:row>31</xdr:row>
      <xdr:rowOff>276225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4821C15-FA05-4B90-B681-BA71E8DEF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925" y="5480842"/>
          <a:ext cx="1080000" cy="48180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12</xdr:col>
      <xdr:colOff>202955</xdr:colOff>
      <xdr:row>3</xdr:row>
      <xdr:rowOff>135547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385BCA-28DD-46C2-B088-C4C52777A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6925" y="0"/>
          <a:ext cx="1793630" cy="697522"/>
        </a:xfrm>
        <a:prstGeom prst="rect">
          <a:avLst/>
        </a:prstGeom>
      </xdr:spPr>
    </xdr:pic>
    <xdr:clientData/>
  </xdr:twoCellAnchor>
  <xdr:twoCellAnchor editAs="oneCell">
    <xdr:from>
      <xdr:col>8</xdr:col>
      <xdr:colOff>186825</xdr:colOff>
      <xdr:row>30</xdr:row>
      <xdr:rowOff>137317</xdr:rowOff>
    </xdr:from>
    <xdr:to>
      <xdr:col>10</xdr:col>
      <xdr:colOff>0</xdr:colOff>
      <xdr:row>31</xdr:row>
      <xdr:rowOff>276225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9BB1E7-5E31-4B68-9A51-6C6CAFB50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925" y="5480842"/>
          <a:ext cx="1080000" cy="4818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12</xdr:col>
      <xdr:colOff>202955</xdr:colOff>
      <xdr:row>3</xdr:row>
      <xdr:rowOff>135547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8BCBDF-4E0B-4819-A156-165687038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6925" y="0"/>
          <a:ext cx="1793630" cy="697522"/>
        </a:xfrm>
        <a:prstGeom prst="rect">
          <a:avLst/>
        </a:prstGeom>
      </xdr:spPr>
    </xdr:pic>
    <xdr:clientData/>
  </xdr:twoCellAnchor>
  <xdr:twoCellAnchor editAs="oneCell">
    <xdr:from>
      <xdr:col>8</xdr:col>
      <xdr:colOff>186825</xdr:colOff>
      <xdr:row>30</xdr:row>
      <xdr:rowOff>137317</xdr:rowOff>
    </xdr:from>
    <xdr:to>
      <xdr:col>10</xdr:col>
      <xdr:colOff>0</xdr:colOff>
      <xdr:row>31</xdr:row>
      <xdr:rowOff>276225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F2A792A-19AF-49E2-A358-73AF50F61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925" y="5480842"/>
          <a:ext cx="1080000" cy="48180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12</xdr:col>
      <xdr:colOff>202955</xdr:colOff>
      <xdr:row>3</xdr:row>
      <xdr:rowOff>135547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E29F11-127F-4DC6-B454-D70CB12EA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6925" y="0"/>
          <a:ext cx="1793630" cy="697522"/>
        </a:xfrm>
        <a:prstGeom prst="rect">
          <a:avLst/>
        </a:prstGeom>
      </xdr:spPr>
    </xdr:pic>
    <xdr:clientData/>
  </xdr:twoCellAnchor>
  <xdr:twoCellAnchor editAs="oneCell">
    <xdr:from>
      <xdr:col>8</xdr:col>
      <xdr:colOff>186825</xdr:colOff>
      <xdr:row>30</xdr:row>
      <xdr:rowOff>137317</xdr:rowOff>
    </xdr:from>
    <xdr:to>
      <xdr:col>10</xdr:col>
      <xdr:colOff>0</xdr:colOff>
      <xdr:row>31</xdr:row>
      <xdr:rowOff>276225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7DA82F8-23A3-44E6-9C2B-D8C332237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925" y="5480842"/>
          <a:ext cx="1080000" cy="48180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12</xdr:col>
      <xdr:colOff>202955</xdr:colOff>
      <xdr:row>3</xdr:row>
      <xdr:rowOff>135547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716404-347C-41E3-B6B1-DE68388CE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6925" y="0"/>
          <a:ext cx="1793630" cy="697522"/>
        </a:xfrm>
        <a:prstGeom prst="rect">
          <a:avLst/>
        </a:prstGeom>
      </xdr:spPr>
    </xdr:pic>
    <xdr:clientData/>
  </xdr:twoCellAnchor>
  <xdr:twoCellAnchor editAs="oneCell">
    <xdr:from>
      <xdr:col>8</xdr:col>
      <xdr:colOff>186825</xdr:colOff>
      <xdr:row>30</xdr:row>
      <xdr:rowOff>137317</xdr:rowOff>
    </xdr:from>
    <xdr:to>
      <xdr:col>10</xdr:col>
      <xdr:colOff>0</xdr:colOff>
      <xdr:row>31</xdr:row>
      <xdr:rowOff>276225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F63A686-44B2-426E-A6F1-EF64039E2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925" y="5480842"/>
          <a:ext cx="1080000" cy="48180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12</xdr:col>
      <xdr:colOff>202955</xdr:colOff>
      <xdr:row>3</xdr:row>
      <xdr:rowOff>135547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2700EC-C6D7-4D27-8D5A-FD872D27F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6925" y="0"/>
          <a:ext cx="1793630" cy="697522"/>
        </a:xfrm>
        <a:prstGeom prst="rect">
          <a:avLst/>
        </a:prstGeom>
      </xdr:spPr>
    </xdr:pic>
    <xdr:clientData/>
  </xdr:twoCellAnchor>
  <xdr:twoCellAnchor editAs="oneCell">
    <xdr:from>
      <xdr:col>8</xdr:col>
      <xdr:colOff>186825</xdr:colOff>
      <xdr:row>30</xdr:row>
      <xdr:rowOff>137317</xdr:rowOff>
    </xdr:from>
    <xdr:to>
      <xdr:col>10</xdr:col>
      <xdr:colOff>0</xdr:colOff>
      <xdr:row>31</xdr:row>
      <xdr:rowOff>276225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20E1E56-C898-417F-B7A5-2F5AD0530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925" y="5480842"/>
          <a:ext cx="1080000" cy="48180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12</xdr:col>
      <xdr:colOff>202955</xdr:colOff>
      <xdr:row>3</xdr:row>
      <xdr:rowOff>135547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AC9807F-7C88-4F7E-939F-BF444A44E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6925" y="0"/>
          <a:ext cx="1793630" cy="697522"/>
        </a:xfrm>
        <a:prstGeom prst="rect">
          <a:avLst/>
        </a:prstGeom>
      </xdr:spPr>
    </xdr:pic>
    <xdr:clientData/>
  </xdr:twoCellAnchor>
  <xdr:twoCellAnchor editAs="oneCell">
    <xdr:from>
      <xdr:col>8</xdr:col>
      <xdr:colOff>186825</xdr:colOff>
      <xdr:row>30</xdr:row>
      <xdr:rowOff>137317</xdr:rowOff>
    </xdr:from>
    <xdr:to>
      <xdr:col>10</xdr:col>
      <xdr:colOff>0</xdr:colOff>
      <xdr:row>31</xdr:row>
      <xdr:rowOff>276225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090E97D-6C19-4337-8031-DBC9E2FB6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925" y="5480842"/>
          <a:ext cx="1080000" cy="48180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12</xdr:col>
      <xdr:colOff>202955</xdr:colOff>
      <xdr:row>3</xdr:row>
      <xdr:rowOff>135547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DF6A0B9-A2F2-40DD-B489-66E5879BD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6925" y="0"/>
          <a:ext cx="1793630" cy="697522"/>
        </a:xfrm>
        <a:prstGeom prst="rect">
          <a:avLst/>
        </a:prstGeom>
      </xdr:spPr>
    </xdr:pic>
    <xdr:clientData/>
  </xdr:twoCellAnchor>
  <xdr:twoCellAnchor editAs="oneCell">
    <xdr:from>
      <xdr:col>8</xdr:col>
      <xdr:colOff>186825</xdr:colOff>
      <xdr:row>30</xdr:row>
      <xdr:rowOff>137317</xdr:rowOff>
    </xdr:from>
    <xdr:to>
      <xdr:col>10</xdr:col>
      <xdr:colOff>0</xdr:colOff>
      <xdr:row>31</xdr:row>
      <xdr:rowOff>276225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18677B1-47CB-4FB2-A46E-EEDEB35B8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925" y="5480842"/>
          <a:ext cx="1080000" cy="48180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12</xdr:col>
      <xdr:colOff>202955</xdr:colOff>
      <xdr:row>3</xdr:row>
      <xdr:rowOff>135547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17FC6BB-EC88-4663-B728-22817996F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6925" y="0"/>
          <a:ext cx="1793630" cy="697522"/>
        </a:xfrm>
        <a:prstGeom prst="rect">
          <a:avLst/>
        </a:prstGeom>
      </xdr:spPr>
    </xdr:pic>
    <xdr:clientData/>
  </xdr:twoCellAnchor>
  <xdr:twoCellAnchor editAs="oneCell">
    <xdr:from>
      <xdr:col>8</xdr:col>
      <xdr:colOff>186825</xdr:colOff>
      <xdr:row>30</xdr:row>
      <xdr:rowOff>137317</xdr:rowOff>
    </xdr:from>
    <xdr:to>
      <xdr:col>10</xdr:col>
      <xdr:colOff>0</xdr:colOff>
      <xdr:row>31</xdr:row>
      <xdr:rowOff>276225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6623577-E671-4B8B-B49F-85709C704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925" y="5480842"/>
          <a:ext cx="1080000" cy="48180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12</xdr:col>
      <xdr:colOff>202955</xdr:colOff>
      <xdr:row>3</xdr:row>
      <xdr:rowOff>135547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C1B61C-DCE5-4048-87A8-1F364BD6F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6925" y="0"/>
          <a:ext cx="1793630" cy="697522"/>
        </a:xfrm>
        <a:prstGeom prst="rect">
          <a:avLst/>
        </a:prstGeom>
      </xdr:spPr>
    </xdr:pic>
    <xdr:clientData/>
  </xdr:twoCellAnchor>
  <xdr:twoCellAnchor editAs="oneCell">
    <xdr:from>
      <xdr:col>8</xdr:col>
      <xdr:colOff>186825</xdr:colOff>
      <xdr:row>30</xdr:row>
      <xdr:rowOff>137317</xdr:rowOff>
    </xdr:from>
    <xdr:to>
      <xdr:col>10</xdr:col>
      <xdr:colOff>0</xdr:colOff>
      <xdr:row>31</xdr:row>
      <xdr:rowOff>276225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79AB7E5-ACB5-469C-AFA0-1E577F0DE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925" y="5480842"/>
          <a:ext cx="1080000" cy="48180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12</xdr:col>
      <xdr:colOff>202955</xdr:colOff>
      <xdr:row>3</xdr:row>
      <xdr:rowOff>135547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991ED6-B857-49B2-9765-3A2BD42C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6925" y="0"/>
          <a:ext cx="1793630" cy="697522"/>
        </a:xfrm>
        <a:prstGeom prst="rect">
          <a:avLst/>
        </a:prstGeom>
      </xdr:spPr>
    </xdr:pic>
    <xdr:clientData/>
  </xdr:twoCellAnchor>
  <xdr:twoCellAnchor editAs="oneCell">
    <xdr:from>
      <xdr:col>8</xdr:col>
      <xdr:colOff>186825</xdr:colOff>
      <xdr:row>30</xdr:row>
      <xdr:rowOff>137317</xdr:rowOff>
    </xdr:from>
    <xdr:to>
      <xdr:col>10</xdr:col>
      <xdr:colOff>0</xdr:colOff>
      <xdr:row>31</xdr:row>
      <xdr:rowOff>276225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A64F51F-B551-4A65-9523-8856F3B17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925" y="5480842"/>
          <a:ext cx="1080000" cy="4818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mshengutoilethire.co.z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B42"/>
  <sheetViews>
    <sheetView showGridLines="0" tabSelected="1" zoomScale="110" zoomScaleNormal="110" workbookViewId="0">
      <selection activeCell="AN10" sqref="AN10"/>
    </sheetView>
  </sheetViews>
  <sheetFormatPr defaultRowHeight="12.75" x14ac:dyDescent="0.2"/>
  <cols>
    <col min="1" max="38" width="3.5703125" customWidth="1"/>
    <col min="40" max="40" width="11.7109375" customWidth="1"/>
    <col min="41" max="41" width="10.28515625" bestFit="1" customWidth="1"/>
    <col min="80" max="80" width="10.85546875" customWidth="1"/>
  </cols>
  <sheetData>
    <row r="1" spans="1:80" ht="15.75" x14ac:dyDescent="0.25">
      <c r="A1" s="30" t="s">
        <v>43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160" t="s">
        <v>0</v>
      </c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N1" s="66">
        <v>45199</v>
      </c>
      <c r="AO1" s="67">
        <f>$AN$1-DAY($AN$1)+1</f>
        <v>45170</v>
      </c>
      <c r="AP1" s="67">
        <f>EOMONTH(AN1,0)</f>
        <v>45199</v>
      </c>
      <c r="AQ1" s="67"/>
      <c r="AR1" s="67">
        <f>DATE(YEAR($AO$1),1,1)</f>
        <v>44927</v>
      </c>
      <c r="AS1" s="67">
        <f>DATE(YEAR($AO$1),2,1)</f>
        <v>44958</v>
      </c>
      <c r="AT1" s="67">
        <f>DATE(YEAR($AO$1),3,1)</f>
        <v>44986</v>
      </c>
      <c r="AU1" s="67">
        <f>DATE(YEAR($AO$1),4,1)</f>
        <v>45017</v>
      </c>
      <c r="AV1" s="67">
        <f>DATE(YEAR($AO$1),5,1)</f>
        <v>45047</v>
      </c>
      <c r="AW1" s="67">
        <f>DATE(YEAR($AO$1),6,1)</f>
        <v>45078</v>
      </c>
      <c r="AX1" s="67">
        <f>DATE(YEAR($AO$1),7,1)</f>
        <v>45108</v>
      </c>
      <c r="AY1" s="67">
        <f>DATE(YEAR($AO$1),8,1)</f>
        <v>45139</v>
      </c>
      <c r="AZ1" s="67">
        <f>DATE(YEAR($AO$1),9,1)</f>
        <v>45170</v>
      </c>
      <c r="BA1" s="67">
        <f>DATE(YEAR($AO$1),10,1)</f>
        <v>45200</v>
      </c>
      <c r="BB1" s="67">
        <f>DATE(YEAR($AO$1),11,1)</f>
        <v>45231</v>
      </c>
      <c r="BC1" s="67">
        <f>DATE(YEAR($AO$1),12,1)</f>
        <v>45261</v>
      </c>
      <c r="BD1" s="70"/>
      <c r="BE1" s="70"/>
      <c r="BF1" s="70"/>
      <c r="BG1" s="70"/>
      <c r="BH1" s="70"/>
      <c r="BI1" s="70"/>
      <c r="BJ1" s="70"/>
      <c r="BK1" s="70"/>
      <c r="BL1" s="70"/>
      <c r="BM1" s="70"/>
    </row>
    <row r="2" spans="1:80" ht="15.75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160" t="s">
        <v>1</v>
      </c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N2" s="1"/>
      <c r="AO2" s="68" t="s">
        <v>127</v>
      </c>
      <c r="AP2" s="68" t="s">
        <v>128</v>
      </c>
      <c r="AQ2" s="68"/>
      <c r="AR2" s="69"/>
      <c r="AS2" s="69"/>
      <c r="AT2" s="69"/>
      <c r="AU2" s="69"/>
      <c r="AV2" s="69"/>
      <c r="AW2" s="69"/>
      <c r="AX2" s="70"/>
      <c r="AY2" s="70"/>
      <c r="AZ2" s="70"/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</row>
    <row r="3" spans="1:80" x14ac:dyDescent="0.2">
      <c r="A3" s="191" t="s">
        <v>2</v>
      </c>
      <c r="B3" s="191"/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9"/>
      <c r="P3" s="9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O3" s="71" t="str">
        <f>TEXT(AO1,"DDmmYYYY")</f>
        <v>01092023</v>
      </c>
      <c r="AP3" s="71" t="str">
        <f>TEXT(AP1,"DDmmYYYY")</f>
        <v>30092023</v>
      </c>
      <c r="AQ3" s="70"/>
      <c r="AR3" s="70"/>
      <c r="AS3" s="70"/>
      <c r="AT3" s="70"/>
      <c r="AU3" s="70"/>
      <c r="AV3" s="70"/>
      <c r="AW3" s="70"/>
      <c r="AX3" s="70"/>
      <c r="AY3" s="70"/>
      <c r="AZ3" s="70"/>
      <c r="BA3" s="70"/>
      <c r="BB3" s="70"/>
      <c r="BC3" s="70"/>
      <c r="BD3" s="70"/>
      <c r="BE3" s="70"/>
      <c r="BF3" s="70"/>
      <c r="BG3" s="70"/>
      <c r="BH3" s="70"/>
      <c r="BI3" s="70"/>
      <c r="BJ3" s="70"/>
      <c r="BK3" s="70"/>
      <c r="BL3" s="70"/>
      <c r="BM3" s="70"/>
    </row>
    <row r="4" spans="1:80" x14ac:dyDescent="0.2">
      <c r="B4" s="5" t="s">
        <v>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CA4" s="32">
        <v>2013</v>
      </c>
      <c r="CB4" s="33" t="s">
        <v>82</v>
      </c>
    </row>
    <row r="5" spans="1:80" ht="13.15" customHeight="1" x14ac:dyDescent="0.2">
      <c r="A5" s="13">
        <v>1</v>
      </c>
      <c r="B5" s="51" t="s">
        <v>105</v>
      </c>
      <c r="C5" s="52"/>
      <c r="D5" s="52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3"/>
      <c r="S5" s="15"/>
      <c r="T5" s="13">
        <v>9</v>
      </c>
      <c r="U5" s="51" t="s">
        <v>57</v>
      </c>
      <c r="V5" s="52"/>
      <c r="W5" s="52"/>
      <c r="X5" s="52"/>
      <c r="Y5" s="53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10"/>
      <c r="AN5" s="1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70"/>
      <c r="AZ5" s="70"/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  <c r="BL5" s="70"/>
      <c r="BM5" s="70"/>
      <c r="CA5" s="32">
        <v>2014</v>
      </c>
      <c r="CB5" s="33" t="s">
        <v>83</v>
      </c>
    </row>
    <row r="6" spans="1:80" ht="13.15" customHeight="1" x14ac:dyDescent="0.2">
      <c r="A6" s="13"/>
      <c r="B6" s="7" t="s">
        <v>67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14"/>
      <c r="S6" s="15"/>
      <c r="T6" s="13"/>
      <c r="U6" s="51" t="s">
        <v>110</v>
      </c>
      <c r="V6" s="52"/>
      <c r="W6" s="52"/>
      <c r="X6" s="52"/>
      <c r="Y6" s="53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10"/>
      <c r="AN6" s="10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CA6" s="32">
        <v>2015</v>
      </c>
      <c r="CB6" s="33" t="s">
        <v>84</v>
      </c>
    </row>
    <row r="7" spans="1:80" ht="13.15" customHeight="1" x14ac:dyDescent="0.2">
      <c r="A7" s="15">
        <v>2</v>
      </c>
      <c r="B7" s="7" t="s">
        <v>68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14"/>
      <c r="S7" s="13"/>
      <c r="T7" s="15">
        <v>10</v>
      </c>
      <c r="U7" s="7" t="s">
        <v>69</v>
      </c>
      <c r="Y7" s="14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10"/>
      <c r="AN7" s="117" t="s">
        <v>1036</v>
      </c>
      <c r="AO7" s="124">
        <v>1</v>
      </c>
      <c r="AP7" s="124">
        <v>2</v>
      </c>
      <c r="AQ7" s="124">
        <v>3</v>
      </c>
      <c r="AR7" s="124">
        <v>4</v>
      </c>
      <c r="AS7" s="124">
        <v>5</v>
      </c>
      <c r="AT7" s="124">
        <v>6</v>
      </c>
      <c r="AU7" s="124">
        <v>7</v>
      </c>
      <c r="AV7" s="124">
        <v>8</v>
      </c>
      <c r="AW7" s="124">
        <v>9</v>
      </c>
      <c r="AX7" s="124">
        <v>10</v>
      </c>
      <c r="AY7" s="124">
        <v>11</v>
      </c>
      <c r="AZ7" s="70"/>
      <c r="CA7" s="32">
        <v>2016</v>
      </c>
      <c r="CB7" s="33" t="s">
        <v>85</v>
      </c>
    </row>
    <row r="8" spans="1:80" ht="13.15" customHeight="1" x14ac:dyDescent="0.2">
      <c r="A8" s="13">
        <v>3</v>
      </c>
      <c r="B8" s="7" t="s">
        <v>50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14"/>
      <c r="S8" s="13"/>
      <c r="T8" s="13">
        <v>11</v>
      </c>
      <c r="U8" s="7" t="s">
        <v>45</v>
      </c>
      <c r="Y8" s="14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10"/>
      <c r="AN8" s="121">
        <f>SUM(AN9:AN20)</f>
        <v>0</v>
      </c>
      <c r="AO8" s="124" t="str">
        <f>MID($AN$8,1,1)</f>
        <v>0</v>
      </c>
      <c r="AP8" s="124" t="str">
        <f>MID($AN$8,2,1)</f>
        <v/>
      </c>
      <c r="AQ8" s="124" t="str">
        <f>MID($AN$8,3,1)</f>
        <v/>
      </c>
      <c r="AR8" s="124" t="str">
        <f>MID($AN$8,4,1)</f>
        <v/>
      </c>
      <c r="AS8" s="124" t="str">
        <f>MID($AN$8,5,1)</f>
        <v/>
      </c>
      <c r="AT8" s="124" t="str">
        <f>MID($AN$8,6,1)</f>
        <v/>
      </c>
      <c r="AU8" s="124" t="str">
        <f>MID($AN$8,7,1)</f>
        <v/>
      </c>
      <c r="AV8" s="124" t="str">
        <f>MID($AN$8,8,1)</f>
        <v/>
      </c>
      <c r="AW8" s="124" t="str">
        <f>MID($AN$8,9,1)</f>
        <v/>
      </c>
      <c r="AX8" s="124" t="str">
        <f>MID($AN$8,10,1)</f>
        <v/>
      </c>
      <c r="AY8" s="124" t="str">
        <f>MID($AN$8,11,1)</f>
        <v/>
      </c>
      <c r="AZ8" s="68"/>
      <c r="BA8" s="123"/>
      <c r="CA8" s="32">
        <v>2017</v>
      </c>
      <c r="CB8" s="33" t="s">
        <v>86</v>
      </c>
    </row>
    <row r="9" spans="1:80" ht="13.15" customHeight="1" x14ac:dyDescent="0.2">
      <c r="A9" s="15"/>
      <c r="B9" s="7" t="s">
        <v>51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14"/>
      <c r="S9" s="15"/>
      <c r="T9" s="15">
        <v>12</v>
      </c>
      <c r="U9" s="7" t="s">
        <v>111</v>
      </c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N9" s="145"/>
      <c r="AO9" s="149">
        <v>44957</v>
      </c>
      <c r="CA9" s="32">
        <v>2018</v>
      </c>
      <c r="CB9" s="33" t="s">
        <v>87</v>
      </c>
    </row>
    <row r="10" spans="1:80" ht="13.15" customHeight="1" x14ac:dyDescent="0.2">
      <c r="A10" s="15">
        <v>4</v>
      </c>
      <c r="B10" s="7" t="s">
        <v>52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14"/>
      <c r="S10" s="13"/>
      <c r="T10" s="13"/>
      <c r="U10" s="7" t="s">
        <v>112</v>
      </c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N10" s="145"/>
      <c r="AO10" s="149">
        <f>EOMONTH(AO9,1)</f>
        <v>44985</v>
      </c>
      <c r="CA10" s="32">
        <v>2019</v>
      </c>
      <c r="CB10" s="33" t="s">
        <v>88</v>
      </c>
    </row>
    <row r="11" spans="1:80" ht="13.15" customHeight="1" x14ac:dyDescent="0.2">
      <c r="A11" s="15"/>
      <c r="B11" s="7" t="s">
        <v>72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14"/>
      <c r="S11" s="15"/>
      <c r="T11" s="15">
        <v>13</v>
      </c>
      <c r="U11" s="51" t="s">
        <v>113</v>
      </c>
      <c r="V11" s="52"/>
      <c r="W11" s="52"/>
      <c r="X11" s="52"/>
      <c r="Y11" s="53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7"/>
      <c r="AN11" s="146"/>
      <c r="AO11" s="149">
        <f t="shared" ref="AO11:AO20" si="0">EOMONTH(AO10,1)</f>
        <v>45016</v>
      </c>
      <c r="CA11" s="32">
        <v>2020</v>
      </c>
      <c r="CB11" s="33" t="s">
        <v>89</v>
      </c>
    </row>
    <row r="12" spans="1:80" ht="13.15" customHeight="1" x14ac:dyDescent="0.2">
      <c r="A12" s="15"/>
      <c r="B12" s="11" t="s">
        <v>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14"/>
      <c r="S12" s="13"/>
      <c r="T12" s="13"/>
      <c r="U12" s="51" t="s">
        <v>114</v>
      </c>
      <c r="V12" s="52"/>
      <c r="W12" s="52"/>
      <c r="X12" s="52"/>
      <c r="Y12" s="53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7"/>
      <c r="AN12" s="146"/>
      <c r="AO12" s="149">
        <f t="shared" si="0"/>
        <v>45046</v>
      </c>
      <c r="CA12" s="32">
        <v>2021</v>
      </c>
      <c r="CB12" s="33" t="s">
        <v>90</v>
      </c>
    </row>
    <row r="13" spans="1:80" ht="13.15" customHeight="1" x14ac:dyDescent="0.2">
      <c r="A13" s="13">
        <v>5</v>
      </c>
      <c r="B13" s="7" t="s">
        <v>5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14"/>
      <c r="S13" s="14"/>
      <c r="T13" s="15">
        <v>14</v>
      </c>
      <c r="U13" s="7" t="s">
        <v>118</v>
      </c>
      <c r="Y13" s="14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146"/>
      <c r="AO13" s="149">
        <f t="shared" si="0"/>
        <v>45077</v>
      </c>
      <c r="CA13" s="32">
        <v>2022</v>
      </c>
      <c r="CB13" s="33" t="s">
        <v>91</v>
      </c>
    </row>
    <row r="14" spans="1:80" ht="13.15" customHeight="1" x14ac:dyDescent="0.2">
      <c r="A14" s="15">
        <v>6</v>
      </c>
      <c r="B14" s="51" t="s">
        <v>107</v>
      </c>
      <c r="C14" s="52"/>
      <c r="D14" s="52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3"/>
      <c r="S14" s="55"/>
      <c r="T14" s="13"/>
      <c r="U14" s="7" t="s">
        <v>58</v>
      </c>
      <c r="Y14" s="14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146"/>
      <c r="AO14" s="149">
        <f t="shared" si="0"/>
        <v>45107</v>
      </c>
      <c r="CA14" s="32">
        <v>2023</v>
      </c>
      <c r="CB14" s="33" t="s">
        <v>92</v>
      </c>
    </row>
    <row r="15" spans="1:80" ht="13.15" customHeight="1" x14ac:dyDescent="0.2">
      <c r="A15" s="18"/>
      <c r="B15" s="51" t="s">
        <v>108</v>
      </c>
      <c r="C15" s="52"/>
      <c r="D15" s="52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3"/>
      <c r="S15" s="56"/>
      <c r="T15" s="14"/>
      <c r="U15" s="6" t="s">
        <v>7</v>
      </c>
      <c r="Y15" s="14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146"/>
      <c r="AO15" s="149">
        <f t="shared" si="0"/>
        <v>45138</v>
      </c>
      <c r="CA15" s="32">
        <v>2024</v>
      </c>
      <c r="CB15" s="33" t="s">
        <v>93</v>
      </c>
    </row>
    <row r="16" spans="1:80" ht="13.15" customHeight="1" x14ac:dyDescent="0.2">
      <c r="A16" s="18"/>
      <c r="B16" s="51" t="s">
        <v>109</v>
      </c>
      <c r="C16" s="52"/>
      <c r="D16" s="52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3"/>
      <c r="S16" s="53"/>
      <c r="T16" s="13">
        <v>15</v>
      </c>
      <c r="U16" s="7" t="s">
        <v>70</v>
      </c>
      <c r="Y16" s="14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3"/>
      <c r="AN16" s="147"/>
      <c r="AO16" s="149">
        <f t="shared" si="0"/>
        <v>45169</v>
      </c>
      <c r="CA16" s="32">
        <v>2025</v>
      </c>
    </row>
    <row r="17" spans="1:79" ht="13.15" customHeight="1" x14ac:dyDescent="0.2">
      <c r="A17" s="15">
        <v>7</v>
      </c>
      <c r="B17" s="7" t="s">
        <v>54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14"/>
      <c r="S17" s="13"/>
      <c r="T17" s="14"/>
      <c r="U17" s="7" t="s">
        <v>59</v>
      </c>
      <c r="Y17" s="14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10"/>
      <c r="AN17" s="148"/>
      <c r="AO17" s="149">
        <f t="shared" si="0"/>
        <v>45199</v>
      </c>
      <c r="CA17" s="32">
        <v>2026</v>
      </c>
    </row>
    <row r="18" spans="1:79" ht="13.15" customHeight="1" x14ac:dyDescent="0.2">
      <c r="A18" s="13"/>
      <c r="B18" s="7" t="s">
        <v>53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14"/>
      <c r="S18" s="14"/>
      <c r="T18" s="15">
        <v>16</v>
      </c>
      <c r="U18" s="7" t="s">
        <v>73</v>
      </c>
      <c r="Y18" s="14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0"/>
      <c r="AN18" s="148"/>
      <c r="AO18" s="149">
        <f t="shared" si="0"/>
        <v>45230</v>
      </c>
      <c r="CA18" s="32">
        <v>2027</v>
      </c>
    </row>
    <row r="19" spans="1:79" ht="13.15" customHeight="1" x14ac:dyDescent="0.2">
      <c r="A19" s="17"/>
      <c r="B19" s="5" t="s">
        <v>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14"/>
      <c r="S19" s="15"/>
      <c r="T19" s="14"/>
      <c r="U19" s="7" t="s">
        <v>75</v>
      </c>
      <c r="Y19" s="14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10"/>
      <c r="AN19" s="148"/>
      <c r="AO19" s="149">
        <f>EOMONTH(AO18,1)</f>
        <v>45260</v>
      </c>
      <c r="CA19" s="32">
        <v>2028</v>
      </c>
    </row>
    <row r="20" spans="1:79" ht="13.15" customHeight="1" x14ac:dyDescent="0.2">
      <c r="A20" s="4">
        <v>8</v>
      </c>
      <c r="B20" s="7" t="s">
        <v>56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14"/>
      <c r="S20" s="15"/>
      <c r="U20" s="7" t="s">
        <v>74</v>
      </c>
      <c r="Y20" s="14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10"/>
      <c r="AN20" s="148"/>
      <c r="AO20" s="149">
        <f t="shared" si="0"/>
        <v>45291</v>
      </c>
      <c r="CA20" s="32">
        <v>2029</v>
      </c>
    </row>
    <row r="21" spans="1:79" ht="13.15" customHeight="1" x14ac:dyDescent="0.2">
      <c r="A21" s="15"/>
      <c r="B21" s="7" t="s">
        <v>55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14"/>
      <c r="S21" s="14"/>
      <c r="T21" s="15">
        <v>17</v>
      </c>
      <c r="U21" s="7" t="s">
        <v>71</v>
      </c>
      <c r="Y21" s="14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10"/>
      <c r="AN21" s="119"/>
      <c r="AO21" s="118"/>
      <c r="CA21" s="32">
        <v>2030</v>
      </c>
    </row>
    <row r="22" spans="1:79" ht="13.15" customHeight="1" x14ac:dyDescent="0.2">
      <c r="A22" s="15"/>
      <c r="B22" s="7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15"/>
      <c r="U22" s="7"/>
      <c r="Y22" s="14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N22" s="120"/>
      <c r="AO22" s="118"/>
      <c r="CA22" s="32">
        <v>2031</v>
      </c>
    </row>
    <row r="23" spans="1:79" x14ac:dyDescent="0.2">
      <c r="A23" s="192" t="s">
        <v>8</v>
      </c>
      <c r="B23" s="192"/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192"/>
      <c r="O23" s="192"/>
      <c r="P23" s="192"/>
      <c r="Q23" s="192"/>
      <c r="R23" s="192"/>
      <c r="S23" s="192"/>
      <c r="T23" s="192"/>
      <c r="U23" s="192"/>
      <c r="V23" s="192"/>
      <c r="W23" s="192"/>
      <c r="X23" s="192"/>
      <c r="Y23" s="192"/>
      <c r="Z23" s="192"/>
      <c r="AA23" s="192"/>
      <c r="AB23" s="192"/>
      <c r="AC23" s="192"/>
      <c r="AD23" s="192"/>
      <c r="AE23" s="192"/>
      <c r="AF23" s="192"/>
      <c r="AG23" s="192"/>
      <c r="AH23" s="192"/>
      <c r="AI23" s="192"/>
      <c r="AJ23" s="192"/>
      <c r="AK23" s="192"/>
      <c r="AL23" s="192"/>
      <c r="AN23" s="120"/>
      <c r="AO23" s="118"/>
      <c r="CA23" s="32">
        <v>2032</v>
      </c>
    </row>
    <row r="24" spans="1:79" ht="13.5" thickBot="1" x14ac:dyDescent="0.25">
      <c r="A24" s="4" t="s">
        <v>40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N24" s="75"/>
      <c r="AO24" s="116"/>
      <c r="CA24" s="32">
        <v>2033</v>
      </c>
    </row>
    <row r="25" spans="1:79" ht="13.15" customHeight="1" x14ac:dyDescent="0.2">
      <c r="A25" s="22" t="s">
        <v>49</v>
      </c>
      <c r="B25" s="23"/>
      <c r="C25" s="23"/>
      <c r="D25" s="23"/>
      <c r="E25" s="24"/>
      <c r="F25" s="25"/>
      <c r="G25" s="164" t="s">
        <v>119</v>
      </c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6"/>
      <c r="T25" s="26" t="s">
        <v>106</v>
      </c>
      <c r="U25" s="27"/>
      <c r="V25" s="27"/>
      <c r="W25" s="27"/>
      <c r="X25" s="27"/>
      <c r="Y25" s="25"/>
      <c r="Z25" s="173" t="s">
        <v>126</v>
      </c>
      <c r="AA25" s="174"/>
      <c r="AB25" s="174"/>
      <c r="AC25" s="174"/>
      <c r="AD25" s="174"/>
      <c r="AE25" s="174"/>
      <c r="AF25" s="174"/>
      <c r="AG25" s="174"/>
      <c r="AH25" s="174"/>
      <c r="AI25" s="174"/>
      <c r="AJ25" s="174"/>
      <c r="AK25" s="174"/>
      <c r="AL25" s="175"/>
      <c r="AN25" s="75"/>
      <c r="CA25" s="32">
        <v>2034</v>
      </c>
    </row>
    <row r="26" spans="1:79" ht="13.15" customHeight="1" x14ac:dyDescent="0.2">
      <c r="A26" s="28" t="s">
        <v>63</v>
      </c>
      <c r="B26" s="8"/>
      <c r="C26" s="8"/>
      <c r="D26" s="8"/>
      <c r="E26" s="8"/>
      <c r="F26" s="29"/>
      <c r="G26" s="167"/>
      <c r="H26" s="168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9"/>
      <c r="T26" s="20" t="s">
        <v>62</v>
      </c>
      <c r="U26" s="21"/>
      <c r="V26" s="21"/>
      <c r="W26" s="12"/>
      <c r="X26" s="12"/>
      <c r="Y26" s="29"/>
      <c r="Z26" s="176"/>
      <c r="AA26" s="177"/>
      <c r="AB26" s="177"/>
      <c r="AC26" s="177"/>
      <c r="AD26" s="177"/>
      <c r="AE26" s="177"/>
      <c r="AF26" s="177"/>
      <c r="AG26" s="177"/>
      <c r="AH26" s="177"/>
      <c r="AI26" s="177"/>
      <c r="AJ26" s="177"/>
      <c r="AK26" s="177"/>
      <c r="AL26" s="178"/>
      <c r="AN26" s="75"/>
      <c r="CA26" s="32">
        <v>2035</v>
      </c>
    </row>
    <row r="27" spans="1:79" ht="24.75" customHeight="1" x14ac:dyDescent="0.2">
      <c r="A27" s="34" t="s">
        <v>9</v>
      </c>
      <c r="B27" s="4"/>
      <c r="C27" s="4"/>
      <c r="D27" s="4"/>
      <c r="E27" s="4"/>
      <c r="F27" s="19"/>
      <c r="G27" s="170" t="s">
        <v>120</v>
      </c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2"/>
      <c r="T27" s="35" t="s">
        <v>13</v>
      </c>
      <c r="U27" s="10"/>
      <c r="V27" s="10"/>
      <c r="W27" s="10"/>
      <c r="X27" s="10"/>
      <c r="Y27" s="19"/>
      <c r="Z27" s="170" t="s">
        <v>123</v>
      </c>
      <c r="AA27" s="179"/>
      <c r="AB27" s="179"/>
      <c r="AC27" s="179"/>
      <c r="AD27" s="179"/>
      <c r="AE27" s="179"/>
      <c r="AF27" s="179"/>
      <c r="AG27" s="179"/>
      <c r="AH27" s="179"/>
      <c r="AI27" s="179"/>
      <c r="AJ27" s="179"/>
      <c r="AK27" s="179"/>
      <c r="AL27" s="180"/>
      <c r="AN27" s="75"/>
    </row>
    <row r="28" spans="1:79" ht="13.15" customHeight="1" x14ac:dyDescent="0.2">
      <c r="A28" s="36" t="s">
        <v>60</v>
      </c>
      <c r="B28" s="37"/>
      <c r="C28" s="37"/>
      <c r="D28" s="37"/>
      <c r="E28" s="37"/>
      <c r="F28" s="38"/>
      <c r="G28" s="193" t="s">
        <v>121</v>
      </c>
      <c r="H28" s="194"/>
      <c r="I28" s="194"/>
      <c r="J28" s="194"/>
      <c r="K28" s="194"/>
      <c r="L28" s="194"/>
      <c r="M28" s="194"/>
      <c r="N28" s="194"/>
      <c r="O28" s="194"/>
      <c r="P28" s="194"/>
      <c r="Q28" s="194"/>
      <c r="R28" s="194"/>
      <c r="S28" s="195"/>
      <c r="T28" s="39" t="s">
        <v>61</v>
      </c>
      <c r="U28" s="40"/>
      <c r="V28" s="40"/>
      <c r="W28" s="41"/>
      <c r="X28" s="41"/>
      <c r="Y28" s="38"/>
      <c r="Z28" s="181" t="s">
        <v>124</v>
      </c>
      <c r="AA28" s="182"/>
      <c r="AB28" s="182"/>
      <c r="AC28" s="182"/>
      <c r="AD28" s="182"/>
      <c r="AE28" s="182"/>
      <c r="AF28" s="182"/>
      <c r="AG28" s="182"/>
      <c r="AH28" s="182"/>
      <c r="AI28" s="182"/>
      <c r="AJ28" s="182"/>
      <c r="AK28" s="182"/>
      <c r="AL28" s="183"/>
    </row>
    <row r="29" spans="1:79" ht="13.15" customHeight="1" x14ac:dyDescent="0.2">
      <c r="A29" s="42" t="s">
        <v>47</v>
      </c>
      <c r="B29" s="8"/>
      <c r="C29" s="8"/>
      <c r="D29" s="8"/>
      <c r="E29" s="8"/>
      <c r="F29" s="29"/>
      <c r="G29" s="196"/>
      <c r="H29" s="197"/>
      <c r="I29" s="197"/>
      <c r="J29" s="197"/>
      <c r="K29" s="197"/>
      <c r="L29" s="197"/>
      <c r="M29" s="197"/>
      <c r="N29" s="197"/>
      <c r="O29" s="197"/>
      <c r="P29" s="197"/>
      <c r="Q29" s="197"/>
      <c r="R29" s="197"/>
      <c r="S29" s="198"/>
      <c r="T29" s="43" t="s">
        <v>48</v>
      </c>
      <c r="U29" s="44"/>
      <c r="V29" s="44"/>
      <c r="W29" s="45"/>
      <c r="X29" s="45"/>
      <c r="Y29" s="29"/>
      <c r="Z29" s="184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6"/>
    </row>
    <row r="30" spans="1:79" ht="13.15" customHeight="1" x14ac:dyDescent="0.2">
      <c r="A30" s="46" t="s">
        <v>61</v>
      </c>
      <c r="B30" s="4"/>
      <c r="C30" s="4"/>
      <c r="D30" s="4"/>
      <c r="E30" s="4"/>
      <c r="F30" s="19"/>
      <c r="G30" s="193" t="s">
        <v>122</v>
      </c>
      <c r="H30" s="194"/>
      <c r="I30" s="194"/>
      <c r="J30" s="194"/>
      <c r="K30" s="194"/>
      <c r="L30" s="194"/>
      <c r="M30" s="194"/>
      <c r="N30" s="194"/>
      <c r="O30" s="194"/>
      <c r="P30" s="194"/>
      <c r="Q30" s="194"/>
      <c r="R30" s="194"/>
      <c r="S30" s="195"/>
      <c r="T30" s="47" t="s">
        <v>61</v>
      </c>
      <c r="U30" s="10"/>
      <c r="V30" s="10"/>
      <c r="W30" s="10"/>
      <c r="X30" s="10"/>
      <c r="Y30" s="48"/>
      <c r="Z30" s="187" t="s">
        <v>10</v>
      </c>
      <c r="AA30" s="188"/>
      <c r="AB30" s="58">
        <v>0</v>
      </c>
      <c r="AC30" s="59">
        <v>8</v>
      </c>
      <c r="AD30" s="59">
        <v>2</v>
      </c>
      <c r="AE30" s="64" t="s">
        <v>125</v>
      </c>
      <c r="AF30" s="59">
        <v>4</v>
      </c>
      <c r="AG30" s="59">
        <v>9</v>
      </c>
      <c r="AH30" s="59">
        <v>2</v>
      </c>
      <c r="AI30" s="59">
        <v>3</v>
      </c>
      <c r="AJ30" s="59">
        <v>6</v>
      </c>
      <c r="AK30" s="59">
        <v>0</v>
      </c>
      <c r="AL30" s="60">
        <v>4</v>
      </c>
    </row>
    <row r="31" spans="1:79" ht="13.15" customHeight="1" x14ac:dyDescent="0.2">
      <c r="A31" s="42" t="s">
        <v>46</v>
      </c>
      <c r="B31" s="8"/>
      <c r="C31" s="8"/>
      <c r="D31" s="8"/>
      <c r="E31" s="8"/>
      <c r="F31" s="29"/>
      <c r="G31" s="196"/>
      <c r="H31" s="197"/>
      <c r="I31" s="197"/>
      <c r="J31" s="197"/>
      <c r="K31" s="197"/>
      <c r="L31" s="197"/>
      <c r="M31" s="197"/>
      <c r="N31" s="197"/>
      <c r="O31" s="197"/>
      <c r="P31" s="197"/>
      <c r="Q31" s="197"/>
      <c r="R31" s="197"/>
      <c r="S31" s="198"/>
      <c r="T31" s="49" t="s">
        <v>39</v>
      </c>
      <c r="U31" s="12"/>
      <c r="V31" s="12"/>
      <c r="W31" s="12"/>
      <c r="X31" s="12"/>
      <c r="Y31" s="50"/>
      <c r="Z31" s="189" t="s">
        <v>11</v>
      </c>
      <c r="AA31" s="190"/>
      <c r="AB31" s="61">
        <v>0</v>
      </c>
      <c r="AC31" s="62">
        <v>2</v>
      </c>
      <c r="AD31" s="62">
        <v>1</v>
      </c>
      <c r="AE31" s="65" t="s">
        <v>125</v>
      </c>
      <c r="AF31" s="62">
        <v>6</v>
      </c>
      <c r="AG31" s="62">
        <v>9</v>
      </c>
      <c r="AH31" s="62">
        <v>1</v>
      </c>
      <c r="AI31" s="62">
        <v>3</v>
      </c>
      <c r="AJ31" s="62">
        <v>7</v>
      </c>
      <c r="AK31" s="62">
        <v>9</v>
      </c>
      <c r="AL31" s="63">
        <v>3</v>
      </c>
    </row>
    <row r="32" spans="1:79" ht="13.15" customHeight="1" x14ac:dyDescent="0.2">
      <c r="A32" s="161" t="s">
        <v>66</v>
      </c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3"/>
    </row>
    <row r="33" spans="1:38" ht="13.15" customHeight="1" x14ac:dyDescent="0.2">
      <c r="A33" s="199" t="s">
        <v>14</v>
      </c>
      <c r="B33" s="200"/>
      <c r="C33" s="200" t="s">
        <v>15</v>
      </c>
      <c r="D33" s="200"/>
      <c r="E33" s="200" t="s">
        <v>23</v>
      </c>
      <c r="F33" s="200"/>
      <c r="G33" s="200" t="s">
        <v>24</v>
      </c>
      <c r="H33" s="200"/>
      <c r="I33" s="200" t="s">
        <v>16</v>
      </c>
      <c r="J33" s="200"/>
      <c r="K33" s="153" t="s">
        <v>25</v>
      </c>
      <c r="L33" s="154"/>
      <c r="M33" s="153" t="s">
        <v>26</v>
      </c>
      <c r="N33" s="154"/>
      <c r="O33" s="153" t="s">
        <v>17</v>
      </c>
      <c r="P33" s="154"/>
      <c r="Q33" s="153" t="s">
        <v>27</v>
      </c>
      <c r="R33" s="154"/>
      <c r="S33" s="153" t="s">
        <v>18</v>
      </c>
      <c r="T33" s="154"/>
      <c r="U33" s="153" t="s">
        <v>19</v>
      </c>
      <c r="V33" s="154"/>
      <c r="W33" s="153" t="s">
        <v>20</v>
      </c>
      <c r="X33" s="154"/>
      <c r="Y33" s="157" t="s">
        <v>115</v>
      </c>
      <c r="Z33" s="158"/>
      <c r="AA33" s="158"/>
      <c r="AB33" s="158"/>
      <c r="AC33" s="158"/>
      <c r="AD33" s="159"/>
      <c r="AE33" s="151" t="str">
        <f>MID($AO$3,5,1)</f>
        <v>2</v>
      </c>
      <c r="AF33" s="152"/>
      <c r="AG33" s="152" t="str">
        <f>MID($AO$3,6,1)</f>
        <v>0</v>
      </c>
      <c r="AH33" s="152"/>
      <c r="AI33" s="152" t="str">
        <f>MID($AO$3,7,1)</f>
        <v>2</v>
      </c>
      <c r="AJ33" s="152"/>
      <c r="AK33" s="152" t="str">
        <f>MID($AO$3,8,1)</f>
        <v>3</v>
      </c>
      <c r="AL33" s="155"/>
    </row>
    <row r="34" spans="1:38" ht="13.15" customHeight="1" thickBot="1" x14ac:dyDescent="0.25">
      <c r="A34" s="203" t="str">
        <f>IF($AO$1=AR$1,"X","")</f>
        <v/>
      </c>
      <c r="B34" s="204"/>
      <c r="C34" s="204" t="str">
        <f>IF($AO$1=AS$1,"X","")</f>
        <v/>
      </c>
      <c r="D34" s="204"/>
      <c r="E34" s="204" t="str">
        <f>IF($AO$1=AT$1,"X","")</f>
        <v/>
      </c>
      <c r="F34" s="204"/>
      <c r="G34" s="204" t="str">
        <f>IF($AO$1=AU$1,"X","")</f>
        <v/>
      </c>
      <c r="H34" s="204"/>
      <c r="I34" s="204" t="str">
        <f>IF($AO$1=AV$1,"X","")</f>
        <v/>
      </c>
      <c r="J34" s="204"/>
      <c r="K34" s="204" t="str">
        <f>IF($AO$1=AW$1,"X","")</f>
        <v/>
      </c>
      <c r="L34" s="204"/>
      <c r="M34" s="204" t="str">
        <f>IF($AO$1=AX$1,"X","")</f>
        <v/>
      </c>
      <c r="N34" s="204"/>
      <c r="O34" s="204" t="str">
        <f>IF($AO$1=AY$1,"X","")</f>
        <v/>
      </c>
      <c r="P34" s="204"/>
      <c r="Q34" s="208" t="str">
        <f>IF($AO$1=AZ$1,"X","")</f>
        <v>X</v>
      </c>
      <c r="R34" s="209"/>
      <c r="S34" s="204" t="str">
        <f>IF($AO$1=BA$1,"X","")</f>
        <v/>
      </c>
      <c r="T34" s="204"/>
      <c r="U34" s="204" t="str">
        <f>IF($AO$1=BB$1,"X","")</f>
        <v/>
      </c>
      <c r="V34" s="204"/>
      <c r="W34" s="208" t="str">
        <f>IF($AO$1=BC$1,"X","")</f>
        <v/>
      </c>
      <c r="X34" s="209"/>
      <c r="Y34" s="207"/>
      <c r="Z34" s="207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6"/>
    </row>
    <row r="35" spans="1:38" ht="13.15" customHeight="1" thickBot="1" x14ac:dyDescent="0.25">
      <c r="A35" s="127"/>
      <c r="B35" s="127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  <c r="R35" s="127"/>
      <c r="S35" s="127"/>
      <c r="T35" s="127"/>
      <c r="U35" s="127"/>
      <c r="V35" s="127"/>
      <c r="W35" s="127"/>
      <c r="X35" s="127"/>
      <c r="Y35" s="127"/>
      <c r="Z35" s="127"/>
      <c r="AA35" s="127"/>
      <c r="AB35" s="127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</row>
    <row r="36" spans="1:38" ht="13.15" customHeight="1" x14ac:dyDescent="0.2">
      <c r="A36" s="128" t="s">
        <v>64</v>
      </c>
      <c r="B36" s="129"/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30"/>
      <c r="N36" s="130"/>
      <c r="O36" s="131"/>
      <c r="P36" s="132"/>
      <c r="Q36" s="131"/>
      <c r="R36" s="131"/>
      <c r="S36" s="131"/>
      <c r="T36" s="131"/>
      <c r="U36" s="133"/>
      <c r="V36" s="134"/>
      <c r="W36" s="135" t="s">
        <v>65</v>
      </c>
      <c r="X36" s="134"/>
      <c r="Y36" s="134"/>
      <c r="Z36" s="134"/>
      <c r="AA36" s="134"/>
      <c r="AB36" s="134"/>
      <c r="AC36" s="134"/>
      <c r="AD36" s="134"/>
      <c r="AE36" s="134"/>
      <c r="AF36" s="134"/>
      <c r="AG36" s="134"/>
      <c r="AH36" s="134"/>
      <c r="AI36" s="134"/>
      <c r="AJ36" s="134"/>
      <c r="AK36" s="134"/>
      <c r="AL36" s="136"/>
    </row>
    <row r="37" spans="1:38" ht="13.15" customHeight="1" x14ac:dyDescent="0.2">
      <c r="A37" s="202" t="str">
        <f>MID($AO$3,5,1)</f>
        <v>2</v>
      </c>
      <c r="B37" s="152"/>
      <c r="C37" s="152" t="str">
        <f>MID($AO$3,6,1)</f>
        <v>0</v>
      </c>
      <c r="D37" s="152"/>
      <c r="E37" s="152" t="str">
        <f>MID($AO$3,7,1)</f>
        <v>2</v>
      </c>
      <c r="F37" s="152"/>
      <c r="G37" s="152" t="str">
        <f>MID($AO$3,8,1)</f>
        <v>3</v>
      </c>
      <c r="H37" s="156"/>
      <c r="I37" s="151" t="str">
        <f>MID($AO$3,3,1)</f>
        <v>0</v>
      </c>
      <c r="J37" s="152"/>
      <c r="K37" s="152" t="str">
        <f>MID($AO$3,4,1)</f>
        <v>9</v>
      </c>
      <c r="L37" s="156"/>
      <c r="M37" s="151" t="str">
        <f>MID($AO$3,1,1)</f>
        <v>0</v>
      </c>
      <c r="N37" s="152"/>
      <c r="O37" s="152" t="str">
        <f>MID($AO$3,2,1)</f>
        <v>1</v>
      </c>
      <c r="P37" s="156"/>
      <c r="Q37" s="201"/>
      <c r="R37" s="201"/>
      <c r="S37" s="127"/>
      <c r="T37" s="127"/>
      <c r="U37" s="201"/>
      <c r="V37" s="201"/>
      <c r="W37" s="151" t="str">
        <f>MID($AP$3,5,1)</f>
        <v>2</v>
      </c>
      <c r="X37" s="152"/>
      <c r="Y37" s="152" t="str">
        <f>MID($AP$3,6,1)</f>
        <v>0</v>
      </c>
      <c r="Z37" s="152"/>
      <c r="AA37" s="152" t="str">
        <f>MID($AP$3,7,1)</f>
        <v>2</v>
      </c>
      <c r="AB37" s="152"/>
      <c r="AC37" s="152" t="str">
        <f>MID($AP$3,8,1)</f>
        <v>3</v>
      </c>
      <c r="AD37" s="156"/>
      <c r="AE37" s="151" t="str">
        <f>MID($AP$3,3,1)</f>
        <v>0</v>
      </c>
      <c r="AF37" s="152"/>
      <c r="AG37" s="152" t="str">
        <f>MID($AP$3,4,1)</f>
        <v>9</v>
      </c>
      <c r="AH37" s="156"/>
      <c r="AI37" s="151" t="str">
        <f>MID($AP$3,1,1)</f>
        <v>3</v>
      </c>
      <c r="AJ37" s="152"/>
      <c r="AK37" s="152" t="str">
        <f>MID($AP$3,2,1)</f>
        <v>0</v>
      </c>
      <c r="AL37" s="155"/>
    </row>
    <row r="38" spans="1:38" ht="13.15" customHeight="1" x14ac:dyDescent="0.2">
      <c r="A38" s="137" t="s">
        <v>21</v>
      </c>
      <c r="B38" s="127"/>
      <c r="C38" s="127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27"/>
      <c r="V38" s="127"/>
      <c r="W38" s="127"/>
      <c r="X38" s="127"/>
      <c r="Y38" s="127"/>
      <c r="Z38" s="127"/>
      <c r="AA38" s="127"/>
      <c r="AB38" s="127"/>
      <c r="AC38" s="127"/>
      <c r="AD38" s="127"/>
      <c r="AE38" s="127"/>
      <c r="AF38" s="127"/>
      <c r="AG38" s="127"/>
      <c r="AH38" s="127"/>
      <c r="AI38" s="127"/>
      <c r="AJ38" s="127"/>
      <c r="AK38" s="127"/>
      <c r="AL38" s="138"/>
    </row>
    <row r="39" spans="1:38" ht="13.15" customHeight="1" thickBot="1" x14ac:dyDescent="0.25">
      <c r="A39" s="205" t="s">
        <v>22</v>
      </c>
      <c r="B39" s="206"/>
      <c r="C39" s="139"/>
      <c r="D39" s="140"/>
      <c r="E39" s="141"/>
      <c r="F39" s="141"/>
      <c r="G39" s="141"/>
      <c r="H39" s="141"/>
      <c r="I39" s="141"/>
      <c r="J39" s="141"/>
      <c r="K39" s="141"/>
      <c r="L39" s="141"/>
      <c r="M39" s="140"/>
      <c r="N39" s="142"/>
      <c r="O39" s="141"/>
      <c r="P39" s="140"/>
      <c r="Q39" s="142"/>
      <c r="R39" s="141" t="str">
        <f>$AO$8</f>
        <v>0</v>
      </c>
      <c r="S39" s="141" t="str">
        <f>$AP$8</f>
        <v/>
      </c>
      <c r="T39" s="141" t="str">
        <f>$AQ$8</f>
        <v/>
      </c>
      <c r="U39" s="141" t="str">
        <f>$AR$8</f>
        <v/>
      </c>
      <c r="V39" s="141" t="str">
        <f>$AS$8</f>
        <v/>
      </c>
      <c r="W39" s="141" t="str">
        <f>$AT$8</f>
        <v/>
      </c>
      <c r="X39" s="141" t="str">
        <f>$AU$8</f>
        <v/>
      </c>
      <c r="Y39" s="143" t="str">
        <f>$AV$8</f>
        <v/>
      </c>
      <c r="Z39" s="141" t="str">
        <f>$AW$8</f>
        <v/>
      </c>
      <c r="AA39" s="139" t="str">
        <f>$AX$8</f>
        <v/>
      </c>
      <c r="AB39" s="144" t="str">
        <f>$AY$8</f>
        <v/>
      </c>
      <c r="AC39" s="125"/>
      <c r="AD39" s="125"/>
      <c r="AE39" s="125"/>
      <c r="AF39" s="125"/>
      <c r="AG39" s="125"/>
      <c r="AH39" s="125"/>
      <c r="AI39" s="125"/>
      <c r="AJ39" s="125"/>
      <c r="AK39" s="125"/>
      <c r="AL39" s="126"/>
    </row>
    <row r="40" spans="1:38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</row>
    <row r="41" spans="1:38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1:38" x14ac:dyDescent="0.2">
      <c r="X42" s="1"/>
    </row>
  </sheetData>
  <sheetProtection algorithmName="SHA-512" hashValue="zedSJBaNtGoGVijkIv5pCQCbieszf4IgvT16Pj1p/4mNTv+8SOyliK5qP/sL9hnFBxAw72uIv18SDzLRgUXcMQ==" saltValue="jFndw6FeTPaIGrBq37azWg==" spinCount="100000" sheet="1" selectLockedCells="1"/>
  <mergeCells count="63">
    <mergeCell ref="Y34:Z34"/>
    <mergeCell ref="W34:X34"/>
    <mergeCell ref="S34:T34"/>
    <mergeCell ref="U34:V34"/>
    <mergeCell ref="Q34:R34"/>
    <mergeCell ref="A39:B39"/>
    <mergeCell ref="E34:F34"/>
    <mergeCell ref="G34:H34"/>
    <mergeCell ref="I34:J34"/>
    <mergeCell ref="K34:L34"/>
    <mergeCell ref="I37:J37"/>
    <mergeCell ref="K37:L37"/>
    <mergeCell ref="U37:V37"/>
    <mergeCell ref="A37:B37"/>
    <mergeCell ref="A34:B34"/>
    <mergeCell ref="C34:D34"/>
    <mergeCell ref="O37:P37"/>
    <mergeCell ref="E37:F37"/>
    <mergeCell ref="G37:H37"/>
    <mergeCell ref="C37:D37"/>
    <mergeCell ref="M37:N37"/>
    <mergeCell ref="M34:N34"/>
    <mergeCell ref="O34:P34"/>
    <mergeCell ref="Q37:R37"/>
    <mergeCell ref="M33:N33"/>
    <mergeCell ref="Q33:R33"/>
    <mergeCell ref="U33:V33"/>
    <mergeCell ref="A33:B33"/>
    <mergeCell ref="C33:D33"/>
    <mergeCell ref="E33:F33"/>
    <mergeCell ref="I33:J33"/>
    <mergeCell ref="G33:H33"/>
    <mergeCell ref="K33:L33"/>
    <mergeCell ref="M1:Z1"/>
    <mergeCell ref="M2:Z2"/>
    <mergeCell ref="A32:AL32"/>
    <mergeCell ref="G25:S26"/>
    <mergeCell ref="G27:S27"/>
    <mergeCell ref="Z25:AL26"/>
    <mergeCell ref="Z27:AL27"/>
    <mergeCell ref="Z28:AL29"/>
    <mergeCell ref="Z30:AA30"/>
    <mergeCell ref="Z31:AA31"/>
    <mergeCell ref="A3:N3"/>
    <mergeCell ref="A23:AL23"/>
    <mergeCell ref="G28:S29"/>
    <mergeCell ref="G30:S31"/>
    <mergeCell ref="AE33:AF33"/>
    <mergeCell ref="O33:P33"/>
    <mergeCell ref="AK37:AL37"/>
    <mergeCell ref="AE37:AF37"/>
    <mergeCell ref="AA37:AB37"/>
    <mergeCell ref="Y37:Z37"/>
    <mergeCell ref="AC37:AD37"/>
    <mergeCell ref="AI37:AJ37"/>
    <mergeCell ref="AG37:AH37"/>
    <mergeCell ref="AK33:AL33"/>
    <mergeCell ref="AI33:AJ33"/>
    <mergeCell ref="W37:X37"/>
    <mergeCell ref="S33:T33"/>
    <mergeCell ref="W33:X33"/>
    <mergeCell ref="AG33:AH33"/>
    <mergeCell ref="Y33:AD33"/>
  </mergeCells>
  <dataValidations count="1">
    <dataValidation allowBlank="1" showInputMessage="1" showErrorMessage="1" promptTitle="MONTH" prompt="Please select a Month" sqref="AN1" xr:uid="{49A2B493-D48E-49F6-ABB9-70D9C7329C5E}"/>
  </dataValidations>
  <hyperlinks>
    <hyperlink ref="Z28" r:id="rId1" xr:uid="{0C62D4AE-6053-43B7-88AD-CD064FCCA9D8}"/>
  </hyperlinks>
  <pageMargins left="1.1023622047244095" right="0.70866141732283472" top="0.74803149606299213" bottom="0.74803149606299213" header="0.31496062992125984" footer="0.31496062992125984"/>
  <pageSetup paperSize="9" scale="94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14741-9737-4F1D-8FF9-D0EF0AABF9A0}">
  <sheetPr codeName="Sheet15">
    <pageSetUpPr fitToPage="1"/>
  </sheetPr>
  <dimension ref="A1:R74"/>
  <sheetViews>
    <sheetView showGridLines="0" zoomScaleNormal="100" workbookViewId="0">
      <selection activeCell="A7" sqref="A7"/>
    </sheetView>
  </sheetViews>
  <sheetFormatPr defaultColWidth="8.85546875" defaultRowHeight="12.75" x14ac:dyDescent="0.2"/>
  <cols>
    <col min="1" max="1" width="20.7109375" style="76" customWidth="1"/>
    <col min="2" max="2" width="4.42578125" style="80" customWidth="1"/>
    <col min="3" max="5" width="24.42578125" style="80" customWidth="1"/>
    <col min="6" max="6" width="10.140625" style="80" customWidth="1"/>
    <col min="7" max="9" width="8.85546875" style="80"/>
    <col min="10" max="11" width="10.140625" style="80" bestFit="1" customWidth="1"/>
    <col min="12" max="15" width="13.7109375" style="80" customWidth="1"/>
    <col min="16" max="17" width="14.5703125" style="80" customWidth="1"/>
    <col min="18" max="18" width="8.85546875" style="150"/>
    <col min="19" max="16384" width="8.85546875" style="80"/>
  </cols>
  <sheetData>
    <row r="1" spans="1:18" ht="15.75" x14ac:dyDescent="0.25">
      <c r="B1" s="77" t="s">
        <v>44</v>
      </c>
      <c r="C1" s="78"/>
      <c r="D1" s="78"/>
      <c r="E1" s="79" t="s">
        <v>1</v>
      </c>
      <c r="G1" s="78"/>
      <c r="H1" s="78"/>
      <c r="I1" s="78"/>
      <c r="R1" s="114">
        <f>IF($P$30&gt;0,1,"")</f>
        <v>1</v>
      </c>
    </row>
    <row r="2" spans="1:18" ht="15.75" x14ac:dyDescent="0.25"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114">
        <f>IF('Beneficiaries (2)'!$P$30&gt;0,1,"")</f>
        <v>1</v>
      </c>
    </row>
    <row r="3" spans="1:18" x14ac:dyDescent="0.2">
      <c r="B3" s="210" t="s">
        <v>28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81"/>
      <c r="R3" s="114">
        <f>IF('Beneficiaries (3)'!$P$30&gt;0,1,"")</f>
        <v>1</v>
      </c>
    </row>
    <row r="4" spans="1:18" x14ac:dyDescent="0.2">
      <c r="C4" s="77"/>
      <c r="D4" s="77"/>
      <c r="E4" s="77"/>
      <c r="F4" s="77"/>
      <c r="G4" s="77"/>
      <c r="R4" s="114">
        <f>IF('Beneficiaries (4)'!$P$30&gt;0,1,"")</f>
        <v>1</v>
      </c>
    </row>
    <row r="5" spans="1:18" ht="12.75" customHeight="1" x14ac:dyDescent="0.2">
      <c r="B5" s="211" t="s">
        <v>12</v>
      </c>
      <c r="C5" s="212"/>
      <c r="D5" s="215" t="str">
        <f>Project!$Z$25</f>
        <v>WSDS/24/111i</v>
      </c>
      <c r="E5" s="215"/>
      <c r="F5" s="82"/>
      <c r="H5" s="83" t="s">
        <v>80</v>
      </c>
      <c r="I5" s="83" t="s">
        <v>81</v>
      </c>
      <c r="J5" s="77"/>
      <c r="K5" s="216" t="s">
        <v>78</v>
      </c>
      <c r="L5" s="216"/>
      <c r="M5" s="216"/>
      <c r="N5" s="85"/>
      <c r="O5" s="85"/>
      <c r="P5" s="77"/>
      <c r="Q5" s="77"/>
      <c r="R5" s="114">
        <f>IF('Beneficiaries (5)'!$P$30&gt;0,1,"")</f>
        <v>1</v>
      </c>
    </row>
    <row r="6" spans="1:18" x14ac:dyDescent="0.2">
      <c r="B6" s="213"/>
      <c r="C6" s="214"/>
      <c r="D6" s="215"/>
      <c r="E6" s="215"/>
      <c r="F6" s="82"/>
      <c r="H6" s="112" t="str">
        <f>TEXT(Project!$AN$1,"YYYY")</f>
        <v>2023</v>
      </c>
      <c r="I6" s="112" t="str">
        <f>TEXT(Project!$AN$1,"MMMM")</f>
        <v>September</v>
      </c>
      <c r="J6" s="86"/>
      <c r="K6" s="57">
        <v>1</v>
      </c>
      <c r="L6" s="84" t="s">
        <v>79</v>
      </c>
      <c r="M6" s="113">
        <f>IF(K6&gt;0,COUNT(R1:R20),"")</f>
        <v>14</v>
      </c>
      <c r="N6" s="85"/>
      <c r="O6" s="85"/>
      <c r="P6" s="87"/>
      <c r="Q6" s="87"/>
      <c r="R6" s="114">
        <f>IF('Beneficiaries (6)'!$P$30&gt;0,1,"")</f>
        <v>1</v>
      </c>
    </row>
    <row r="7" spans="1:18" x14ac:dyDescent="0.2">
      <c r="B7" s="88"/>
      <c r="C7" s="88"/>
      <c r="D7" s="88"/>
      <c r="E7" s="87"/>
      <c r="F7" s="87"/>
      <c r="H7" s="86"/>
      <c r="I7" s="86"/>
      <c r="J7" s="86"/>
      <c r="K7" s="87"/>
      <c r="L7" s="85"/>
      <c r="M7" s="85"/>
      <c r="N7" s="85"/>
      <c r="O7" s="85"/>
      <c r="P7" s="87"/>
      <c r="Q7" s="87"/>
      <c r="R7" s="114">
        <f>IF('Beneficiaries (7)'!$P$30&gt;0,1,"")</f>
        <v>1</v>
      </c>
    </row>
    <row r="8" spans="1:18" x14ac:dyDescent="0.2">
      <c r="B8" s="89"/>
      <c r="C8" s="90" t="s">
        <v>34</v>
      </c>
      <c r="D8" s="90" t="s">
        <v>34</v>
      </c>
      <c r="E8" s="90" t="s">
        <v>34</v>
      </c>
      <c r="F8" s="90" t="s">
        <v>35</v>
      </c>
      <c r="G8" s="89"/>
      <c r="H8" s="89"/>
      <c r="I8" s="90" t="s">
        <v>36</v>
      </c>
      <c r="J8" s="89"/>
      <c r="K8" s="90" t="s">
        <v>37</v>
      </c>
      <c r="L8" s="90" t="s">
        <v>38</v>
      </c>
      <c r="M8" s="90" t="s">
        <v>42</v>
      </c>
      <c r="N8" s="90"/>
      <c r="O8" s="90" t="s">
        <v>104</v>
      </c>
      <c r="P8" s="90"/>
      <c r="Q8" s="91"/>
      <c r="R8" s="114">
        <f>IF('Beneficiaries (8)'!$P$30&gt;0,1,"")</f>
        <v>1</v>
      </c>
    </row>
    <row r="9" spans="1:18" ht="45" x14ac:dyDescent="0.2">
      <c r="B9" s="92" t="s">
        <v>29</v>
      </c>
      <c r="C9" s="92" t="s">
        <v>30</v>
      </c>
      <c r="D9" s="92" t="s">
        <v>31</v>
      </c>
      <c r="E9" s="92" t="s">
        <v>32</v>
      </c>
      <c r="F9" s="93" t="s">
        <v>96</v>
      </c>
      <c r="G9" s="93" t="s">
        <v>33</v>
      </c>
      <c r="H9" s="93" t="s">
        <v>76</v>
      </c>
      <c r="I9" s="93" t="s">
        <v>77</v>
      </c>
      <c r="J9" s="93" t="s">
        <v>95</v>
      </c>
      <c r="K9" s="93" t="s">
        <v>94</v>
      </c>
      <c r="L9" s="93" t="s">
        <v>41</v>
      </c>
      <c r="M9" s="93" t="s">
        <v>103</v>
      </c>
      <c r="N9" s="93" t="s">
        <v>116</v>
      </c>
      <c r="O9" s="93" t="s">
        <v>102</v>
      </c>
      <c r="P9" s="93" t="s">
        <v>117</v>
      </c>
      <c r="Q9" s="94"/>
      <c r="R9" s="114">
        <f>IF('Beneficiaries (9)'!$P$30&gt;0,1,"")</f>
        <v>1</v>
      </c>
    </row>
    <row r="10" spans="1:18" x14ac:dyDescent="0.2">
      <c r="A10" s="100" t="str">
        <f>ID_Valid(E10)</f>
        <v/>
      </c>
      <c r="B10" s="72">
        <v>1</v>
      </c>
      <c r="C10" s="107" t="str">
        <f>IFERROR(INDEX(Logs!$B$2:$B$500,MATCH(Beneficiaries!$B10,Logs!$A$2:$A$500,0)),"")</f>
        <v>Edith</v>
      </c>
      <c r="D10" s="107" t="str">
        <f>IFERROR(INDEX(Logs!$C$2:$C$500,MATCH(Beneficiaries!$B10,Logs!$A$2:$A$500,0)),"")</f>
        <v>Losper</v>
      </c>
      <c r="E10" s="108" t="str">
        <f>IFERROR(INDEX(Logs!$D$2:$D$500,MATCH(Beneficiaries!$B10,Logs!$A$2:$A$500,0)),"")</f>
        <v>6104090199088</v>
      </c>
      <c r="F10" s="73" t="s">
        <v>761</v>
      </c>
      <c r="G10" s="101" t="str">
        <f t="shared" ref="G10:G29" si="0">TheGender(E10)</f>
        <v>F</v>
      </c>
      <c r="H10" s="72" t="s">
        <v>761</v>
      </c>
      <c r="I10" s="74" t="s">
        <v>762</v>
      </c>
      <c r="J10" s="110" t="str">
        <f>IFERROR(INDEX(Logs!$E$2:$E$500,MATCH(Beneficiaries!$B10,Logs!$A$2:$A$500,0)),"")</f>
        <v>01/08/2021</v>
      </c>
      <c r="K10" s="110" t="str">
        <f>IFERROR(INDEX(Logs!$F$2:$F$500,MATCH(Beneficiaries!$B10,Logs!$A$2:$A$500,0)),"")</f>
        <v>30/09/2023</v>
      </c>
      <c r="L10" s="111">
        <f>IFERROR(INDEX(Logs!$G$2:$G$500,MATCH(Beneficiaries!$B10,Logs!$A$2:$A$500,0)),0)</f>
        <v>16</v>
      </c>
      <c r="M10" s="72">
        <v>0</v>
      </c>
      <c r="N10" s="101">
        <f>M10+L10</f>
        <v>16</v>
      </c>
      <c r="O10" s="102">
        <f>IFERROR(INDEX(Logs!$H$2:$H$500,MATCH(Beneficiaries!$B10,Logs!$A$2:$A$500,0)),)</f>
        <v>204.16</v>
      </c>
      <c r="P10" s="103">
        <f>IFERROR(N10*O10,0)</f>
        <v>3266.56</v>
      </c>
      <c r="Q10" s="95"/>
      <c r="R10" s="114">
        <f>IF('Beneficiaries (10)'!$P$30&gt;0,1,"")</f>
        <v>1</v>
      </c>
    </row>
    <row r="11" spans="1:18" x14ac:dyDescent="0.2">
      <c r="A11" s="100" t="str">
        <f t="shared" ref="A11:A29" si="1">ID_Valid(E11)</f>
        <v/>
      </c>
      <c r="B11" s="72">
        <v>2</v>
      </c>
      <c r="C11" s="107" t="str">
        <f>IFERROR(INDEX(Logs!$B$2:$B$500,MATCH(Beneficiaries!$B11,Logs!$A$2:$A$500,0)),"")</f>
        <v>Lorraine</v>
      </c>
      <c r="D11" s="107" t="str">
        <f>IFERROR(INDEX(Logs!$C$2:$C$500,MATCH(Beneficiaries!$B11,Logs!$A$2:$A$500,0)),"")</f>
        <v>George</v>
      </c>
      <c r="E11" s="108" t="str">
        <f>IFERROR(INDEX(Logs!$D$2:$D$500,MATCH(Beneficiaries!$B11,Logs!$A$2:$A$500,0)),"")</f>
        <v>6208140257083</v>
      </c>
      <c r="F11" s="73" t="s">
        <v>761</v>
      </c>
      <c r="G11" s="101" t="str">
        <f t="shared" si="0"/>
        <v>F</v>
      </c>
      <c r="H11" s="72" t="s">
        <v>761</v>
      </c>
      <c r="I11" s="72" t="s">
        <v>762</v>
      </c>
      <c r="J11" s="111" t="str">
        <f>IFERROR(INDEX(Logs!$E$2:$E$500,MATCH(Beneficiaries!$B11,Logs!$A$2:$A$500,0)),"")</f>
        <v>01/08/2021</v>
      </c>
      <c r="K11" s="111" t="str">
        <f>IFERROR(INDEX(Logs!$F$2:$F$500,MATCH(Beneficiaries!$B11,Logs!$A$2:$A$500,0)),"")</f>
        <v>30/09/2023</v>
      </c>
      <c r="L11" s="111">
        <f>IFERROR(INDEX(Logs!$G$2:$G$500,MATCH(Beneficiaries!$B11,Logs!$A$2:$A$500,0)),0)</f>
        <v>16</v>
      </c>
      <c r="M11" s="72">
        <v>0</v>
      </c>
      <c r="N11" s="101">
        <f>L11+M11</f>
        <v>16</v>
      </c>
      <c r="O11" s="102">
        <f>IFERROR(INDEX(Logs!$H$2:$H$500,MATCH(Beneficiaries!$B11,Logs!$A$2:$A$500,0)),)</f>
        <v>204.16</v>
      </c>
      <c r="P11" s="103">
        <f t="shared" ref="P11:P29" si="2">IFERROR(N11*O11,0)</f>
        <v>3266.56</v>
      </c>
      <c r="Q11" s="95"/>
      <c r="R11" s="114">
        <f>IF('Beneficiaries (11)'!$P$30&gt;0,1,"")</f>
        <v>1</v>
      </c>
    </row>
    <row r="12" spans="1:18" x14ac:dyDescent="0.2">
      <c r="A12" s="100" t="str">
        <f t="shared" si="1"/>
        <v/>
      </c>
      <c r="B12" s="72">
        <v>3</v>
      </c>
      <c r="C12" s="107" t="str">
        <f>IFERROR(INDEX(Logs!$B$2:$B$500,MATCH(Beneficiaries!$B12,Logs!$A$2:$A$500,0)),"")</f>
        <v>Lerina</v>
      </c>
      <c r="D12" s="107" t="str">
        <f>IFERROR(INDEX(Logs!$C$2:$C$500,MATCH(Beneficiaries!$B12,Logs!$A$2:$A$500,0)),"")</f>
        <v>Blaauw</v>
      </c>
      <c r="E12" s="108" t="str">
        <f>IFERROR(INDEX(Logs!$D$2:$D$500,MATCH(Beneficiaries!$B12,Logs!$A$2:$A$500,0)),"")</f>
        <v>7609200217082</v>
      </c>
      <c r="F12" s="73" t="s">
        <v>761</v>
      </c>
      <c r="G12" s="101" t="str">
        <f t="shared" si="0"/>
        <v>F</v>
      </c>
      <c r="H12" s="72" t="s">
        <v>761</v>
      </c>
      <c r="I12" s="72" t="s">
        <v>762</v>
      </c>
      <c r="J12" s="111" t="str">
        <f>IFERROR(INDEX(Logs!$E$2:$E$500,MATCH(Beneficiaries!$B12,Logs!$A$2:$A$500,0)),"")</f>
        <v>01/08/2021</v>
      </c>
      <c r="K12" s="111" t="str">
        <f>IFERROR(INDEX(Logs!$F$2:$F$500,MATCH(Beneficiaries!$B12,Logs!$A$2:$A$500,0)),"")</f>
        <v>30/09/2023</v>
      </c>
      <c r="L12" s="111">
        <f>IFERROR(INDEX(Logs!$G$2:$G$500,MATCH(Beneficiaries!$B12,Logs!$A$2:$A$500,0)),0)</f>
        <v>16</v>
      </c>
      <c r="M12" s="72">
        <v>0</v>
      </c>
      <c r="N12" s="101">
        <f t="shared" ref="N12:N29" si="3">L12+M12</f>
        <v>16</v>
      </c>
      <c r="O12" s="102">
        <f>IFERROR(INDEX(Logs!$H$2:$H$500,MATCH(Beneficiaries!$B12,Logs!$A$2:$A$500,0)),)</f>
        <v>204.16</v>
      </c>
      <c r="P12" s="103">
        <f t="shared" si="2"/>
        <v>3266.56</v>
      </c>
      <c r="Q12" s="95"/>
      <c r="R12" s="114">
        <f>IF('Beneficiaries (12)'!$P$30&gt;0,1,"")</f>
        <v>1</v>
      </c>
    </row>
    <row r="13" spans="1:18" x14ac:dyDescent="0.2">
      <c r="A13" s="100" t="str">
        <f t="shared" si="1"/>
        <v/>
      </c>
      <c r="B13" s="72">
        <v>4</v>
      </c>
      <c r="C13" s="107" t="str">
        <f>IFERROR(INDEX(Logs!$B$2:$B$500,MATCH(Beneficiaries!$B13,Logs!$A$2:$A$500,0)),"")</f>
        <v>Deborah</v>
      </c>
      <c r="D13" s="107" t="str">
        <f>IFERROR(INDEX(Logs!$C$2:$C$500,MATCH(Beneficiaries!$B13,Logs!$A$2:$A$500,0)),"")</f>
        <v>Losper</v>
      </c>
      <c r="E13" s="108" t="str">
        <f>IFERROR(INDEX(Logs!$D$2:$D$500,MATCH(Beneficiaries!$B13,Logs!$A$2:$A$500,0)),"")</f>
        <v>7303240246083</v>
      </c>
      <c r="F13" s="73" t="s">
        <v>761</v>
      </c>
      <c r="G13" s="101" t="str">
        <f t="shared" si="0"/>
        <v>F</v>
      </c>
      <c r="H13" s="72" t="s">
        <v>761</v>
      </c>
      <c r="I13" s="72" t="s">
        <v>762</v>
      </c>
      <c r="J13" s="111" t="str">
        <f>IFERROR(INDEX(Logs!$E$2:$E$500,MATCH(Beneficiaries!$B13,Logs!$A$2:$A$500,0)),"")</f>
        <v>01/08/2021</v>
      </c>
      <c r="K13" s="111" t="str">
        <f>IFERROR(INDEX(Logs!$F$2:$F$500,MATCH(Beneficiaries!$B13,Logs!$A$2:$A$500,0)),"")</f>
        <v>30/09/2023</v>
      </c>
      <c r="L13" s="111">
        <f>IFERROR(INDEX(Logs!$G$2:$G$500,MATCH(Beneficiaries!$B13,Logs!$A$2:$A$500,0)),0)</f>
        <v>16</v>
      </c>
      <c r="M13" s="72">
        <v>0</v>
      </c>
      <c r="N13" s="101">
        <f t="shared" si="3"/>
        <v>16</v>
      </c>
      <c r="O13" s="102">
        <f>IFERROR(INDEX(Logs!$H$2:$H$500,MATCH(Beneficiaries!$B13,Logs!$A$2:$A$500,0)),)</f>
        <v>204.16</v>
      </c>
      <c r="P13" s="103">
        <f t="shared" si="2"/>
        <v>3266.56</v>
      </c>
      <c r="Q13" s="95"/>
      <c r="R13" s="114">
        <f>IF('Beneficiaries (13)'!$P$30&gt;0,1,"")</f>
        <v>1</v>
      </c>
    </row>
    <row r="14" spans="1:18" x14ac:dyDescent="0.2">
      <c r="A14" s="100" t="str">
        <f t="shared" si="1"/>
        <v/>
      </c>
      <c r="B14" s="72">
        <v>5</v>
      </c>
      <c r="C14" s="107" t="str">
        <f>IFERROR(INDEX(Logs!$B$2:$B$500,MATCH(Beneficiaries!$B14,Logs!$A$2:$A$500,0)),"")</f>
        <v>Camerlita</v>
      </c>
      <c r="D14" s="107" t="str">
        <f>IFERROR(INDEX(Logs!$C$2:$C$500,MATCH(Beneficiaries!$B14,Logs!$A$2:$A$500,0)),"")</f>
        <v>Koks</v>
      </c>
      <c r="E14" s="108" t="str">
        <f>IFERROR(INDEX(Logs!$D$2:$D$500,MATCH(Beneficiaries!$B14,Logs!$A$2:$A$500,0)),"")</f>
        <v>9505170179088</v>
      </c>
      <c r="F14" s="73" t="s">
        <v>761</v>
      </c>
      <c r="G14" s="101" t="str">
        <f t="shared" si="0"/>
        <v>F</v>
      </c>
      <c r="H14" s="72" t="s">
        <v>761</v>
      </c>
      <c r="I14" s="72" t="s">
        <v>762</v>
      </c>
      <c r="J14" s="111" t="str">
        <f>IFERROR(INDEX(Logs!$E$2:$E$500,MATCH(Beneficiaries!$B14,Logs!$A$2:$A$500,0)),"")</f>
        <v>01/08/2021</v>
      </c>
      <c r="K14" s="111" t="str">
        <f>IFERROR(INDEX(Logs!$F$2:$F$500,MATCH(Beneficiaries!$B14,Logs!$A$2:$A$500,0)),"")</f>
        <v>30/09/2023</v>
      </c>
      <c r="L14" s="111">
        <f>IFERROR(INDEX(Logs!$G$2:$G$500,MATCH(Beneficiaries!$B14,Logs!$A$2:$A$500,0)),0)</f>
        <v>16</v>
      </c>
      <c r="M14" s="72">
        <v>0</v>
      </c>
      <c r="N14" s="101">
        <f t="shared" si="3"/>
        <v>16</v>
      </c>
      <c r="O14" s="102">
        <f>IFERROR(INDEX(Logs!$H$2:$H$500,MATCH(Beneficiaries!$B14,Logs!$A$2:$A$500,0)),)</f>
        <v>204.16</v>
      </c>
      <c r="P14" s="103">
        <f t="shared" si="2"/>
        <v>3266.56</v>
      </c>
      <c r="Q14" s="95"/>
      <c r="R14" s="114">
        <f>IF('Beneficiaries (14)'!$P$30&gt;0,1,"")</f>
        <v>1</v>
      </c>
    </row>
    <row r="15" spans="1:18" x14ac:dyDescent="0.2">
      <c r="A15" s="100" t="str">
        <f t="shared" si="1"/>
        <v/>
      </c>
      <c r="B15" s="72">
        <v>6</v>
      </c>
      <c r="C15" s="107" t="str">
        <f>IFERROR(INDEX(Logs!$B$2:$B$500,MATCH(Beneficiaries!$B15,Logs!$A$2:$A$500,0)),"")</f>
        <v>Zakhele</v>
      </c>
      <c r="D15" s="107" t="str">
        <f>IFERROR(INDEX(Logs!$C$2:$C$500,MATCH(Beneficiaries!$B15,Logs!$A$2:$A$500,0)),"")</f>
        <v>Mankayi</v>
      </c>
      <c r="E15" s="108" t="str">
        <f>IFERROR(INDEX(Logs!$D$2:$D$500,MATCH(Beneficiaries!$B15,Logs!$A$2:$A$500,0)),"")</f>
        <v>7202135853088</v>
      </c>
      <c r="F15" s="73" t="s">
        <v>761</v>
      </c>
      <c r="G15" s="101" t="str">
        <f t="shared" si="0"/>
        <v>M</v>
      </c>
      <c r="H15" s="72" t="s">
        <v>761</v>
      </c>
      <c r="I15" s="72" t="s">
        <v>762</v>
      </c>
      <c r="J15" s="111" t="str">
        <f>IFERROR(INDEX(Logs!$E$2:$E$500,MATCH(Beneficiaries!$B15,Logs!$A$2:$A$500,0)),"")</f>
        <v>01/08/2021</v>
      </c>
      <c r="K15" s="111" t="str">
        <f>IFERROR(INDEX(Logs!$F$2:$F$500,MATCH(Beneficiaries!$B15,Logs!$A$2:$A$500,0)),"")</f>
        <v>30/09/2023</v>
      </c>
      <c r="L15" s="111">
        <f>IFERROR(INDEX(Logs!$G$2:$G$500,MATCH(Beneficiaries!$B15,Logs!$A$2:$A$500,0)),0)</f>
        <v>17</v>
      </c>
      <c r="M15" s="72">
        <v>0</v>
      </c>
      <c r="N15" s="101">
        <f t="shared" si="3"/>
        <v>17</v>
      </c>
      <c r="O15" s="102">
        <f>IFERROR(INDEX(Logs!$H$2:$H$500,MATCH(Beneficiaries!$B15,Logs!$A$2:$A$500,0)),)</f>
        <v>204.16</v>
      </c>
      <c r="P15" s="103">
        <f t="shared" si="2"/>
        <v>3470.72</v>
      </c>
      <c r="Q15" s="95"/>
    </row>
    <row r="16" spans="1:18" x14ac:dyDescent="0.2">
      <c r="A16" s="100" t="str">
        <f t="shared" si="1"/>
        <v/>
      </c>
      <c r="B16" s="72">
        <v>7</v>
      </c>
      <c r="C16" s="107" t="str">
        <f>IFERROR(INDEX(Logs!$B$2:$B$500,MATCH(Beneficiaries!$B16,Logs!$A$2:$A$500,0)),"")</f>
        <v>Mzukisi</v>
      </c>
      <c r="D16" s="107" t="str">
        <f>IFERROR(INDEX(Logs!$C$2:$C$500,MATCH(Beneficiaries!$B16,Logs!$A$2:$A$500,0)),"")</f>
        <v>Mntuwentla</v>
      </c>
      <c r="E16" s="108" t="str">
        <f>IFERROR(INDEX(Logs!$D$2:$D$500,MATCH(Beneficiaries!$B16,Logs!$A$2:$A$500,0)),"")</f>
        <v>8201056452085</v>
      </c>
      <c r="F16" s="73" t="s">
        <v>761</v>
      </c>
      <c r="G16" s="101" t="str">
        <f t="shared" si="0"/>
        <v>M</v>
      </c>
      <c r="H16" s="72" t="s">
        <v>761</v>
      </c>
      <c r="I16" s="72" t="s">
        <v>762</v>
      </c>
      <c r="J16" s="111" t="str">
        <f>IFERROR(INDEX(Logs!$E$2:$E$500,MATCH(Beneficiaries!$B16,Logs!$A$2:$A$500,0)),"")</f>
        <v>01/08/2021</v>
      </c>
      <c r="K16" s="111" t="str">
        <f>IFERROR(INDEX(Logs!$F$2:$F$500,MATCH(Beneficiaries!$B16,Logs!$A$2:$A$500,0)),"")</f>
        <v>30/09/2023</v>
      </c>
      <c r="L16" s="111">
        <f>IFERROR(INDEX(Logs!$G$2:$G$500,MATCH(Beneficiaries!$B16,Logs!$A$2:$A$500,0)),0)</f>
        <v>17</v>
      </c>
      <c r="M16" s="72">
        <v>0</v>
      </c>
      <c r="N16" s="101">
        <f t="shared" si="3"/>
        <v>17</v>
      </c>
      <c r="O16" s="102">
        <f>IFERROR(INDEX(Logs!$H$2:$H$500,MATCH(Beneficiaries!$B16,Logs!$A$2:$A$500,0)),)</f>
        <v>204.16</v>
      </c>
      <c r="P16" s="103">
        <f t="shared" si="2"/>
        <v>3470.72</v>
      </c>
      <c r="Q16" s="95"/>
    </row>
    <row r="17" spans="1:17" x14ac:dyDescent="0.2">
      <c r="A17" s="100" t="str">
        <f t="shared" si="1"/>
        <v/>
      </c>
      <c r="B17" s="72">
        <v>8</v>
      </c>
      <c r="C17" s="107" t="str">
        <f>IFERROR(INDEX(Logs!$B$2:$B$500,MATCH(Beneficiaries!$B17,Logs!$A$2:$A$500,0)),"")</f>
        <v>Vuyiswa</v>
      </c>
      <c r="D17" s="107" t="str">
        <f>IFERROR(INDEX(Logs!$C$2:$C$500,MATCH(Beneficiaries!$B17,Logs!$A$2:$A$500,0)),"")</f>
        <v>Vellem</v>
      </c>
      <c r="E17" s="108" t="str">
        <f>IFERROR(INDEX(Logs!$D$2:$D$500,MATCH(Beneficiaries!$B17,Logs!$A$2:$A$500,0)),"")</f>
        <v>7511110728085</v>
      </c>
      <c r="F17" s="73" t="s">
        <v>761</v>
      </c>
      <c r="G17" s="101" t="str">
        <f t="shared" si="0"/>
        <v>F</v>
      </c>
      <c r="H17" s="72" t="s">
        <v>761</v>
      </c>
      <c r="I17" s="72" t="s">
        <v>762</v>
      </c>
      <c r="J17" s="111" t="str">
        <f>IFERROR(INDEX(Logs!$E$2:$E$500,MATCH(Beneficiaries!$B17,Logs!$A$2:$A$500,0)),"")</f>
        <v>01/08/2021</v>
      </c>
      <c r="K17" s="111" t="str">
        <f>IFERROR(INDEX(Logs!$F$2:$F$500,MATCH(Beneficiaries!$B17,Logs!$A$2:$A$500,0)),"")</f>
        <v>31/10/2023</v>
      </c>
      <c r="L17" s="111">
        <f>IFERROR(INDEX(Logs!$G$2:$G$500,MATCH(Beneficiaries!$B17,Logs!$A$2:$A$500,0)),0)</f>
        <v>16</v>
      </c>
      <c r="M17" s="72">
        <v>0</v>
      </c>
      <c r="N17" s="101">
        <f t="shared" si="3"/>
        <v>16</v>
      </c>
      <c r="O17" s="102">
        <f>IFERROR(INDEX(Logs!$H$2:$H$500,MATCH(Beneficiaries!$B17,Logs!$A$2:$A$500,0)),)</f>
        <v>218.08</v>
      </c>
      <c r="P17" s="103">
        <f t="shared" si="2"/>
        <v>3489.28</v>
      </c>
      <c r="Q17" s="95"/>
    </row>
    <row r="18" spans="1:17" x14ac:dyDescent="0.2">
      <c r="A18" s="100" t="str">
        <f t="shared" si="1"/>
        <v/>
      </c>
      <c r="B18" s="72">
        <v>9</v>
      </c>
      <c r="C18" s="107" t="str">
        <f>IFERROR(INDEX(Logs!$B$2:$B$500,MATCH(Beneficiaries!$B18,Logs!$A$2:$A$500,0)),"")</f>
        <v>Jongikhaya</v>
      </c>
      <c r="D18" s="107" t="str">
        <f>IFERROR(INDEX(Logs!$C$2:$C$500,MATCH(Beneficiaries!$B18,Logs!$A$2:$A$500,0)),"")</f>
        <v>Bolish</v>
      </c>
      <c r="E18" s="108" t="str">
        <f>IFERROR(INDEX(Logs!$D$2:$D$500,MATCH(Beneficiaries!$B18,Logs!$A$2:$A$500,0)),"")</f>
        <v>6108215734083</v>
      </c>
      <c r="F18" s="73" t="s">
        <v>761</v>
      </c>
      <c r="G18" s="101" t="str">
        <f t="shared" si="0"/>
        <v>M</v>
      </c>
      <c r="H18" s="72" t="s">
        <v>761</v>
      </c>
      <c r="I18" s="72" t="s">
        <v>762</v>
      </c>
      <c r="J18" s="111" t="str">
        <f>IFERROR(INDEX(Logs!$E$2:$E$500,MATCH(Beneficiaries!$B18,Logs!$A$2:$A$500,0)),"")</f>
        <v>01/08/2021</v>
      </c>
      <c r="K18" s="111" t="str">
        <f>IFERROR(INDEX(Logs!$F$2:$F$500,MATCH(Beneficiaries!$B18,Logs!$A$2:$A$500,0)),"")</f>
        <v>31/10/2023</v>
      </c>
      <c r="L18" s="111">
        <f>IFERROR(INDEX(Logs!$G$2:$G$500,MATCH(Beneficiaries!$B18,Logs!$A$2:$A$500,0)),0)</f>
        <v>16</v>
      </c>
      <c r="M18" s="72">
        <v>0</v>
      </c>
      <c r="N18" s="101">
        <f t="shared" si="3"/>
        <v>16</v>
      </c>
      <c r="O18" s="102">
        <f>IFERROR(INDEX(Logs!$H$2:$H$500,MATCH(Beneficiaries!$B18,Logs!$A$2:$A$500,0)),)</f>
        <v>218.08</v>
      </c>
      <c r="P18" s="103">
        <f t="shared" si="2"/>
        <v>3489.28</v>
      </c>
      <c r="Q18" s="95"/>
    </row>
    <row r="19" spans="1:17" x14ac:dyDescent="0.2">
      <c r="A19" s="100" t="str">
        <f t="shared" si="1"/>
        <v/>
      </c>
      <c r="B19" s="72">
        <v>10</v>
      </c>
      <c r="C19" s="107" t="str">
        <f>IFERROR(INDEX(Logs!$B$2:$B$500,MATCH(Beneficiaries!$B19,Logs!$A$2:$A$500,0)),"")</f>
        <v>Zukolwesizwe</v>
      </c>
      <c r="D19" s="107" t="str">
        <f>IFERROR(INDEX(Logs!$C$2:$C$500,MATCH(Beneficiaries!$B19,Logs!$A$2:$A$500,0)),"")</f>
        <v>Mngxe</v>
      </c>
      <c r="E19" s="108" t="str">
        <f>IFERROR(INDEX(Logs!$D$2:$D$500,MATCH(Beneficiaries!$B19,Logs!$A$2:$A$500,0)),"")</f>
        <v>8402095927083</v>
      </c>
      <c r="F19" s="73" t="s">
        <v>761</v>
      </c>
      <c r="G19" s="101" t="str">
        <f t="shared" si="0"/>
        <v>M</v>
      </c>
      <c r="H19" s="72" t="s">
        <v>761</v>
      </c>
      <c r="I19" s="72" t="s">
        <v>762</v>
      </c>
      <c r="J19" s="111" t="str">
        <f>IFERROR(INDEX(Logs!$E$2:$E$500,MATCH(Beneficiaries!$B19,Logs!$A$2:$A$500,0)),"")</f>
        <v>01/08/2021</v>
      </c>
      <c r="K19" s="111" t="str">
        <f>IFERROR(INDEX(Logs!$F$2:$F$500,MATCH(Beneficiaries!$B19,Logs!$A$2:$A$500,0)),"")</f>
        <v>31/07/2024</v>
      </c>
      <c r="L19" s="111">
        <f>IFERROR(INDEX(Logs!$G$2:$G$500,MATCH(Beneficiaries!$B19,Logs!$A$2:$A$500,0)),0)</f>
        <v>20</v>
      </c>
      <c r="M19" s="72">
        <v>0</v>
      </c>
      <c r="N19" s="101">
        <f t="shared" si="3"/>
        <v>20</v>
      </c>
      <c r="O19" s="102">
        <f>IFERROR(INDEX(Logs!$H$2:$H$500,MATCH(Beneficiaries!$B19,Logs!$A$2:$A$500,0)),)</f>
        <v>0</v>
      </c>
      <c r="P19" s="103">
        <f t="shared" si="2"/>
        <v>0</v>
      </c>
      <c r="Q19" s="95"/>
    </row>
    <row r="20" spans="1:17" x14ac:dyDescent="0.2">
      <c r="A20" s="100" t="str">
        <f t="shared" si="1"/>
        <v/>
      </c>
      <c r="B20" s="72">
        <v>11</v>
      </c>
      <c r="C20" s="107" t="str">
        <f>IFERROR(INDEX(Logs!$B$2:$B$500,MATCH(Beneficiaries!$B20,Logs!$A$2:$A$500,0)),"")</f>
        <v>Vumile</v>
      </c>
      <c r="D20" s="107" t="str">
        <f>IFERROR(INDEX(Logs!$C$2:$C$500,MATCH(Beneficiaries!$B20,Logs!$A$2:$A$500,0)),"")</f>
        <v>Ntamo</v>
      </c>
      <c r="E20" s="108" t="str">
        <f>IFERROR(INDEX(Logs!$D$2:$D$500,MATCH(Beneficiaries!$B20,Logs!$A$2:$A$500,0)),"")</f>
        <v>7812285675089</v>
      </c>
      <c r="F20" s="73" t="s">
        <v>761</v>
      </c>
      <c r="G20" s="101" t="str">
        <f t="shared" si="0"/>
        <v>M</v>
      </c>
      <c r="H20" s="72" t="s">
        <v>761</v>
      </c>
      <c r="I20" s="72" t="s">
        <v>762</v>
      </c>
      <c r="J20" s="111" t="str">
        <f>IFERROR(INDEX(Logs!$E$2:$E$500,MATCH(Beneficiaries!$B20,Logs!$A$2:$A$500,0)),"")</f>
        <v>01/08/2021</v>
      </c>
      <c r="K20" s="111" t="str">
        <f>IFERROR(INDEX(Logs!$F$2:$F$500,MATCH(Beneficiaries!$B20,Logs!$A$2:$A$500,0)),"")</f>
        <v>31/07/2024</v>
      </c>
      <c r="L20" s="111">
        <f>IFERROR(INDEX(Logs!$G$2:$G$500,MATCH(Beneficiaries!$B20,Logs!$A$2:$A$500,0)),0)</f>
        <v>20</v>
      </c>
      <c r="M20" s="72">
        <v>0</v>
      </c>
      <c r="N20" s="101">
        <f t="shared" si="3"/>
        <v>20</v>
      </c>
      <c r="O20" s="102">
        <f>IFERROR(INDEX(Logs!$H$2:$H$500,MATCH(Beneficiaries!$B20,Logs!$A$2:$A$500,0)),)</f>
        <v>0</v>
      </c>
      <c r="P20" s="103">
        <f t="shared" si="2"/>
        <v>0</v>
      </c>
      <c r="Q20" s="95"/>
    </row>
    <row r="21" spans="1:17" x14ac:dyDescent="0.2">
      <c r="A21" s="100" t="str">
        <f t="shared" si="1"/>
        <v/>
      </c>
      <c r="B21" s="72">
        <v>12</v>
      </c>
      <c r="C21" s="107" t="str">
        <f>IFERROR(INDEX(Logs!$B$2:$B$500,MATCH(Beneficiaries!$B21,Logs!$A$2:$A$500,0)),"")</f>
        <v>Musa</v>
      </c>
      <c r="D21" s="107" t="str">
        <f>IFERROR(INDEX(Logs!$C$2:$C$500,MATCH(Beneficiaries!$B21,Logs!$A$2:$A$500,0)),"")</f>
        <v>Nompumza</v>
      </c>
      <c r="E21" s="108" t="str">
        <f>IFERROR(INDEX(Logs!$D$2:$D$500,MATCH(Beneficiaries!$B21,Logs!$A$2:$A$500,0)),"")</f>
        <v>9306246140083</v>
      </c>
      <c r="F21" s="73" t="s">
        <v>761</v>
      </c>
      <c r="G21" s="101" t="str">
        <f t="shared" si="0"/>
        <v>M</v>
      </c>
      <c r="H21" s="72" t="s">
        <v>761</v>
      </c>
      <c r="I21" s="72" t="s">
        <v>762</v>
      </c>
      <c r="J21" s="111" t="str">
        <f>IFERROR(INDEX(Logs!$E$2:$E$500,MATCH(Beneficiaries!$B21,Logs!$A$2:$A$500,0)),"")</f>
        <v>01/02/2022</v>
      </c>
      <c r="K21" s="111" t="str">
        <f>IFERROR(INDEX(Logs!$F$2:$F$500,MATCH(Beneficiaries!$B21,Logs!$A$2:$A$500,0)),"")</f>
        <v>31/07/2024</v>
      </c>
      <c r="L21" s="111">
        <f>IFERROR(INDEX(Logs!$G$2:$G$500,MATCH(Beneficiaries!$B21,Logs!$A$2:$A$500,0)),0)</f>
        <v>20</v>
      </c>
      <c r="M21" s="72">
        <v>0</v>
      </c>
      <c r="N21" s="101">
        <f t="shared" si="3"/>
        <v>20</v>
      </c>
      <c r="O21" s="102">
        <f>IFERROR(INDEX(Logs!$H$2:$H$500,MATCH(Beneficiaries!$B21,Logs!$A$2:$A$500,0)),)</f>
        <v>0</v>
      </c>
      <c r="P21" s="103">
        <f t="shared" si="2"/>
        <v>0</v>
      </c>
      <c r="Q21" s="95"/>
    </row>
    <row r="22" spans="1:17" x14ac:dyDescent="0.2">
      <c r="A22" s="100" t="str">
        <f t="shared" si="1"/>
        <v/>
      </c>
      <c r="B22" s="72">
        <v>13</v>
      </c>
      <c r="C22" s="109" t="str">
        <f>IFERROR(INDEX(Logs!$B$2:$B$500,MATCH(Beneficiaries!$B22,Logs!$A$2:$A$500,0)),"")</f>
        <v>Noluvo</v>
      </c>
      <c r="D22" s="107" t="str">
        <f>IFERROR(INDEX(Logs!$C$2:$C$500,MATCH(Beneficiaries!$B22,Logs!$A$2:$A$500,0)),"")</f>
        <v>Sofute</v>
      </c>
      <c r="E22" s="108" t="str">
        <f>IFERROR(INDEX(Logs!$D$2:$D$500,MATCH(Beneficiaries!$B22,Logs!$A$2:$A$500,0)),"")</f>
        <v>8704080957086</v>
      </c>
      <c r="F22" s="73" t="s">
        <v>761</v>
      </c>
      <c r="G22" s="101" t="str">
        <f t="shared" si="0"/>
        <v>F</v>
      </c>
      <c r="H22" s="72" t="s">
        <v>761</v>
      </c>
      <c r="I22" s="72" t="s">
        <v>762</v>
      </c>
      <c r="J22" s="111" t="str">
        <f>IFERROR(INDEX(Logs!$E$2:$E$500,MATCH(Beneficiaries!$B22,Logs!$A$2:$A$500,0)),"")</f>
        <v>03/09/2021</v>
      </c>
      <c r="K22" s="111" t="str">
        <f>IFERROR(INDEX(Logs!$F$2:$F$500,MATCH(Beneficiaries!$B22,Logs!$A$2:$A$500,0)),"")</f>
        <v>30/09/2023</v>
      </c>
      <c r="L22" s="111">
        <f>IFERROR(INDEX(Logs!$G$2:$G$500,MATCH(Beneficiaries!$B22,Logs!$A$2:$A$500,0)),0)</f>
        <v>26</v>
      </c>
      <c r="M22" s="72">
        <v>0</v>
      </c>
      <c r="N22" s="101">
        <f t="shared" si="3"/>
        <v>26</v>
      </c>
      <c r="O22" s="102">
        <f>IFERROR(INDEX(Logs!$H$2:$H$500,MATCH(Beneficiaries!$B22,Logs!$A$2:$A$500,0)),)</f>
        <v>204.16</v>
      </c>
      <c r="P22" s="103">
        <f t="shared" si="2"/>
        <v>5308.16</v>
      </c>
      <c r="Q22" s="95"/>
    </row>
    <row r="23" spans="1:17" x14ac:dyDescent="0.2">
      <c r="A23" s="100" t="str">
        <f t="shared" si="1"/>
        <v/>
      </c>
      <c r="B23" s="72">
        <v>14</v>
      </c>
      <c r="C23" s="109" t="str">
        <f>IFERROR(INDEX(Logs!$B$2:$B$500,MATCH(Beneficiaries!$B23,Logs!$A$2:$A$500,0)),"")</f>
        <v>Phiwamandla</v>
      </c>
      <c r="D23" s="107" t="str">
        <f>IFERROR(INDEX(Logs!$C$2:$C$500,MATCH(Beneficiaries!$B23,Logs!$A$2:$A$500,0)),"")</f>
        <v>Colidiza</v>
      </c>
      <c r="E23" s="108" t="str">
        <f>IFERROR(INDEX(Logs!$D$2:$D$500,MATCH(Beneficiaries!$B23,Logs!$A$2:$A$500,0)),"")</f>
        <v>9309086131089</v>
      </c>
      <c r="F23" s="73" t="s">
        <v>761</v>
      </c>
      <c r="G23" s="101" t="str">
        <f t="shared" si="0"/>
        <v>M</v>
      </c>
      <c r="H23" s="72" t="s">
        <v>761</v>
      </c>
      <c r="I23" s="72" t="s">
        <v>762</v>
      </c>
      <c r="J23" s="111" t="str">
        <f>IFERROR(INDEX(Logs!$E$2:$E$500,MATCH(Beneficiaries!$B23,Logs!$A$2:$A$500,0)),"")</f>
        <v>13/03/0009</v>
      </c>
      <c r="K23" s="111" t="str">
        <f>IFERROR(INDEX(Logs!$F$2:$F$500,MATCH(Beneficiaries!$B23,Logs!$A$2:$A$500,0)),"")</f>
        <v>30/09/2023</v>
      </c>
      <c r="L23" s="111">
        <f>IFERROR(INDEX(Logs!$G$2:$G$500,MATCH(Beneficiaries!$B23,Logs!$A$2:$A$500,0)),0)</f>
        <v>18</v>
      </c>
      <c r="M23" s="72">
        <v>0</v>
      </c>
      <c r="N23" s="101">
        <f t="shared" si="3"/>
        <v>18</v>
      </c>
      <c r="O23" s="102">
        <f>IFERROR(INDEX(Logs!$H$2:$H$500,MATCH(Beneficiaries!$B23,Logs!$A$2:$A$500,0)),)</f>
        <v>204.16</v>
      </c>
      <c r="P23" s="103">
        <f t="shared" si="2"/>
        <v>3674.88</v>
      </c>
      <c r="Q23" s="95"/>
    </row>
    <row r="24" spans="1:17" x14ac:dyDescent="0.2">
      <c r="A24" s="100" t="str">
        <f t="shared" si="1"/>
        <v/>
      </c>
      <c r="B24" s="72">
        <v>15</v>
      </c>
      <c r="C24" s="109" t="str">
        <f>IFERROR(INDEX(Logs!$B$2:$B$500,MATCH(Beneficiaries!$B24,Logs!$A$2:$A$500,0)),"")</f>
        <v>Zola</v>
      </c>
      <c r="D24" s="107" t="str">
        <f>IFERROR(INDEX(Logs!$C$2:$C$500,MATCH(Beneficiaries!$B24,Logs!$A$2:$A$500,0)),"")</f>
        <v>Fotoyi</v>
      </c>
      <c r="E24" s="108" t="str">
        <f>IFERROR(INDEX(Logs!$D$2:$D$500,MATCH(Beneficiaries!$B24,Logs!$A$2:$A$500,0)),"")</f>
        <v>6406166219082</v>
      </c>
      <c r="F24" s="73" t="s">
        <v>761</v>
      </c>
      <c r="G24" s="101" t="str">
        <f t="shared" si="0"/>
        <v>M</v>
      </c>
      <c r="H24" s="72" t="s">
        <v>761</v>
      </c>
      <c r="I24" s="72" t="s">
        <v>762</v>
      </c>
      <c r="J24" s="111" t="str">
        <f>IFERROR(INDEX(Logs!$E$2:$E$500,MATCH(Beneficiaries!$B24,Logs!$A$2:$A$500,0)),"")</f>
        <v>03/09/2021</v>
      </c>
      <c r="K24" s="111" t="str">
        <f>IFERROR(INDEX(Logs!$F$2:$F$500,MATCH(Beneficiaries!$B24,Logs!$A$2:$A$500,0)),"")</f>
        <v>30/09/2023</v>
      </c>
      <c r="L24" s="111">
        <f>IFERROR(INDEX(Logs!$G$2:$G$500,MATCH(Beneficiaries!$B24,Logs!$A$2:$A$500,0)),0)</f>
        <v>18</v>
      </c>
      <c r="M24" s="72">
        <v>0</v>
      </c>
      <c r="N24" s="101">
        <f t="shared" si="3"/>
        <v>18</v>
      </c>
      <c r="O24" s="102">
        <f>IFERROR(INDEX(Logs!$H$2:$H$500,MATCH(Beneficiaries!$B24,Logs!$A$2:$A$500,0)),)</f>
        <v>204.16</v>
      </c>
      <c r="P24" s="103">
        <f t="shared" si="2"/>
        <v>3674.88</v>
      </c>
      <c r="Q24" s="95"/>
    </row>
    <row r="25" spans="1:17" x14ac:dyDescent="0.2">
      <c r="A25" s="100" t="str">
        <f t="shared" si="1"/>
        <v/>
      </c>
      <c r="B25" s="72">
        <v>16</v>
      </c>
      <c r="C25" s="110" t="str">
        <f>IFERROR(INDEX(Logs!$B$2:$B$500,MATCH(Beneficiaries!$B25,Logs!$A$2:$A$500,0)),"")</f>
        <v>Fefekazi</v>
      </c>
      <c r="D25" s="107" t="str">
        <f>IFERROR(INDEX(Logs!$C$2:$C$500,MATCH(Beneficiaries!$B25,Logs!$A$2:$A$500,0)),"")</f>
        <v>Siteto</v>
      </c>
      <c r="E25" s="108" t="str">
        <f>IFERROR(INDEX(Logs!$D$2:$D$500,MATCH(Beneficiaries!$B25,Logs!$A$2:$A$500,0)),"")</f>
        <v>8403241130085</v>
      </c>
      <c r="F25" s="73" t="s">
        <v>761</v>
      </c>
      <c r="G25" s="101" t="str">
        <f t="shared" si="0"/>
        <v>F</v>
      </c>
      <c r="H25" s="72" t="s">
        <v>761</v>
      </c>
      <c r="I25" s="72" t="s">
        <v>762</v>
      </c>
      <c r="J25" s="111" t="str">
        <f>IFERROR(INDEX(Logs!$E$2:$E$500,MATCH(Beneficiaries!$B25,Logs!$A$2:$A$500,0)),"")</f>
        <v>03/09/2021</v>
      </c>
      <c r="K25" s="111" t="str">
        <f>IFERROR(INDEX(Logs!$F$2:$F$500,MATCH(Beneficiaries!$B25,Logs!$A$2:$A$500,0)),"")</f>
        <v>30/09/2023</v>
      </c>
      <c r="L25" s="111">
        <f>IFERROR(INDEX(Logs!$G$2:$G$500,MATCH(Beneficiaries!$B25,Logs!$A$2:$A$500,0)),0)</f>
        <v>26</v>
      </c>
      <c r="M25" s="72">
        <v>0</v>
      </c>
      <c r="N25" s="101">
        <f t="shared" si="3"/>
        <v>26</v>
      </c>
      <c r="O25" s="102">
        <f>IFERROR(INDEX(Logs!$H$2:$H$500,MATCH(Beneficiaries!$B25,Logs!$A$2:$A$500,0)),)</f>
        <v>204.16</v>
      </c>
      <c r="P25" s="103">
        <f t="shared" si="2"/>
        <v>5308.16</v>
      </c>
      <c r="Q25" s="95"/>
    </row>
    <row r="26" spans="1:17" x14ac:dyDescent="0.2">
      <c r="A26" s="100" t="str">
        <f t="shared" si="1"/>
        <v/>
      </c>
      <c r="B26" s="72">
        <v>17</v>
      </c>
      <c r="C26" s="110" t="str">
        <f>IFERROR(INDEX(Logs!$B$2:$B$500,MATCH(Beneficiaries!$B26,Logs!$A$2:$A$500,0)),"")</f>
        <v>Lizeka</v>
      </c>
      <c r="D26" s="107" t="str">
        <f>IFERROR(INDEX(Logs!$C$2:$C$500,MATCH(Beneficiaries!$B26,Logs!$A$2:$A$500,0)),"")</f>
        <v>Tasambana</v>
      </c>
      <c r="E26" s="108" t="str">
        <f>IFERROR(INDEX(Logs!$D$2:$D$500,MATCH(Beneficiaries!$B26,Logs!$A$2:$A$500,0)),"")</f>
        <v>8004011141086</v>
      </c>
      <c r="F26" s="73" t="s">
        <v>761</v>
      </c>
      <c r="G26" s="101" t="str">
        <f t="shared" si="0"/>
        <v>F</v>
      </c>
      <c r="H26" s="72" t="s">
        <v>761</v>
      </c>
      <c r="I26" s="72" t="s">
        <v>762</v>
      </c>
      <c r="J26" s="111" t="str">
        <f>IFERROR(INDEX(Logs!$E$2:$E$500,MATCH(Beneficiaries!$B26,Logs!$A$2:$A$500,0)),"")</f>
        <v>03/09/2021</v>
      </c>
      <c r="K26" s="111" t="str">
        <f>IFERROR(INDEX(Logs!$F$2:$F$500,MATCH(Beneficiaries!$B26,Logs!$A$2:$A$500,0)),"")</f>
        <v>30/09/2023</v>
      </c>
      <c r="L26" s="111">
        <f>IFERROR(INDEX(Logs!$G$2:$G$500,MATCH(Beneficiaries!$B26,Logs!$A$2:$A$500,0)),0)</f>
        <v>26</v>
      </c>
      <c r="M26" s="72">
        <v>0</v>
      </c>
      <c r="N26" s="101">
        <f t="shared" si="3"/>
        <v>26</v>
      </c>
      <c r="O26" s="102">
        <f>IFERROR(INDEX(Logs!$H$2:$H$500,MATCH(Beneficiaries!$B26,Logs!$A$2:$A$500,0)),)</f>
        <v>218.08</v>
      </c>
      <c r="P26" s="103">
        <f t="shared" si="2"/>
        <v>5670.08</v>
      </c>
      <c r="Q26" s="95"/>
    </row>
    <row r="27" spans="1:17" x14ac:dyDescent="0.2">
      <c r="A27" s="100" t="str">
        <f t="shared" si="1"/>
        <v/>
      </c>
      <c r="B27" s="72">
        <v>18</v>
      </c>
      <c r="C27" s="110" t="str">
        <f>IFERROR(INDEX(Logs!$B$2:$B$500,MATCH(Beneficiaries!$B27,Logs!$A$2:$A$500,0)),"")</f>
        <v>Lindelwa</v>
      </c>
      <c r="D27" s="107" t="str">
        <f>IFERROR(INDEX(Logs!$C$2:$C$500,MATCH(Beneficiaries!$B27,Logs!$A$2:$A$500,0)),"")</f>
        <v>Bushula</v>
      </c>
      <c r="E27" s="108" t="str">
        <f>IFERROR(INDEX(Logs!$D$2:$D$500,MATCH(Beneficiaries!$B27,Logs!$A$2:$A$500,0)),"")</f>
        <v>7506051372083</v>
      </c>
      <c r="F27" s="73" t="s">
        <v>761</v>
      </c>
      <c r="G27" s="101" t="str">
        <f t="shared" si="0"/>
        <v>F</v>
      </c>
      <c r="H27" s="72" t="s">
        <v>761</v>
      </c>
      <c r="I27" s="72" t="s">
        <v>762</v>
      </c>
      <c r="J27" s="111" t="str">
        <f>IFERROR(INDEX(Logs!$E$2:$E$500,MATCH(Beneficiaries!$B27,Logs!$A$2:$A$500,0)),"")</f>
        <v>03/09/2021</v>
      </c>
      <c r="K27" s="111" t="str">
        <f>IFERROR(INDEX(Logs!$F$2:$F$500,MATCH(Beneficiaries!$B27,Logs!$A$2:$A$500,0)),"")</f>
        <v>30/09/2023</v>
      </c>
      <c r="L27" s="111">
        <f>IFERROR(INDEX(Logs!$G$2:$G$500,MATCH(Beneficiaries!$B27,Logs!$A$2:$A$500,0)),0)</f>
        <v>26</v>
      </c>
      <c r="M27" s="72">
        <v>0</v>
      </c>
      <c r="N27" s="101">
        <f t="shared" si="3"/>
        <v>26</v>
      </c>
      <c r="O27" s="102">
        <f>IFERROR(INDEX(Logs!$H$2:$H$500,MATCH(Beneficiaries!$B27,Logs!$A$2:$A$500,0)),)</f>
        <v>204.16</v>
      </c>
      <c r="P27" s="103">
        <f t="shared" si="2"/>
        <v>5308.16</v>
      </c>
      <c r="Q27" s="95"/>
    </row>
    <row r="28" spans="1:17" x14ac:dyDescent="0.2">
      <c r="A28" s="100" t="str">
        <f t="shared" si="1"/>
        <v/>
      </c>
      <c r="B28" s="72">
        <v>19</v>
      </c>
      <c r="C28" s="110" t="str">
        <f>IFERROR(INDEX(Logs!$B$2:$B$500,MATCH(Beneficiaries!$B28,Logs!$A$2:$A$500,0)),"")</f>
        <v>Nokubonga</v>
      </c>
      <c r="D28" s="107" t="str">
        <f>IFERROR(INDEX(Logs!$C$2:$C$500,MATCH(Beneficiaries!$B28,Logs!$A$2:$A$500,0)),"")</f>
        <v>Mbekela</v>
      </c>
      <c r="E28" s="108" t="str">
        <f>IFERROR(INDEX(Logs!$D$2:$D$500,MATCH(Beneficiaries!$B28,Logs!$A$2:$A$500,0)),"")</f>
        <v>7703271115083</v>
      </c>
      <c r="F28" s="73" t="s">
        <v>761</v>
      </c>
      <c r="G28" s="101" t="str">
        <f t="shared" si="0"/>
        <v>F</v>
      </c>
      <c r="H28" s="72" t="s">
        <v>761</v>
      </c>
      <c r="I28" s="72" t="s">
        <v>762</v>
      </c>
      <c r="J28" s="111" t="str">
        <f>IFERROR(INDEX(Logs!$E$2:$E$500,MATCH(Beneficiaries!$B28,Logs!$A$2:$A$500,0)),"")</f>
        <v>03/09/2021</v>
      </c>
      <c r="K28" s="111" t="str">
        <f>IFERROR(INDEX(Logs!$F$2:$F$500,MATCH(Beneficiaries!$B28,Logs!$A$2:$A$500,0)),"")</f>
        <v>30/09/2023</v>
      </c>
      <c r="L28" s="111">
        <f>IFERROR(INDEX(Logs!$G$2:$G$500,MATCH(Beneficiaries!$B28,Logs!$A$2:$A$500,0)),0)</f>
        <v>26</v>
      </c>
      <c r="M28" s="72">
        <v>0</v>
      </c>
      <c r="N28" s="101">
        <f t="shared" si="3"/>
        <v>26</v>
      </c>
      <c r="O28" s="102">
        <f>IFERROR(INDEX(Logs!$H$2:$H$500,MATCH(Beneficiaries!$B28,Logs!$A$2:$A$500,0)),)</f>
        <v>204.16</v>
      </c>
      <c r="P28" s="103">
        <f t="shared" si="2"/>
        <v>5308.16</v>
      </c>
      <c r="Q28" s="95"/>
    </row>
    <row r="29" spans="1:17" x14ac:dyDescent="0.2">
      <c r="A29" s="100" t="str">
        <f t="shared" si="1"/>
        <v/>
      </c>
      <c r="B29" s="72">
        <v>20</v>
      </c>
      <c r="C29" s="110" t="str">
        <f>IFERROR(INDEX(Logs!$B$2:$B$500,MATCH(Beneficiaries!$B29,Logs!$A$2:$A$500,0)),"")</f>
        <v>Bongisa</v>
      </c>
      <c r="D29" s="110" t="str">
        <f>IFERROR(INDEX(Logs!$C$2:$C$500,MATCH(Beneficiaries!$B29,Logs!$A$2:$A$500,0)),"")</f>
        <v>Kona</v>
      </c>
      <c r="E29" s="108" t="str">
        <f>IFERROR(INDEX(Logs!$D$2:$D$500,MATCH(Beneficiaries!$B29,Logs!$A$2:$A$500,0)),"")</f>
        <v>8309240581089</v>
      </c>
      <c r="F29" s="73" t="s">
        <v>761</v>
      </c>
      <c r="G29" s="101" t="str">
        <f t="shared" si="0"/>
        <v>F</v>
      </c>
      <c r="H29" s="72" t="s">
        <v>761</v>
      </c>
      <c r="I29" s="72" t="s">
        <v>762</v>
      </c>
      <c r="J29" s="111" t="str">
        <f>IFERROR(INDEX(Logs!$E$2:$E$500,MATCH(Beneficiaries!$B29,Logs!$A$2:$A$500,0)),"")</f>
        <v>03/09/2021</v>
      </c>
      <c r="K29" s="111" t="str">
        <f>IFERROR(INDEX(Logs!$F$2:$F$500,MATCH(Beneficiaries!$B29,Logs!$A$2:$A$500,0)),"")</f>
        <v>30/09/2023</v>
      </c>
      <c r="L29" s="111">
        <f>IFERROR(INDEX(Logs!$G$2:$G$500,MATCH(Beneficiaries!$B29,Logs!$A$2:$A$500,0)),0)</f>
        <v>26</v>
      </c>
      <c r="M29" s="72">
        <v>0</v>
      </c>
      <c r="N29" s="101">
        <f t="shared" si="3"/>
        <v>26</v>
      </c>
      <c r="O29" s="102">
        <f>IFERROR(INDEX(Logs!$H$2:$H$500,MATCH(Beneficiaries!$B29,Logs!$A$2:$A$500,0)),)</f>
        <v>204.16</v>
      </c>
      <c r="P29" s="103">
        <f t="shared" si="2"/>
        <v>5308.16</v>
      </c>
      <c r="Q29" s="95"/>
    </row>
    <row r="30" spans="1:17" x14ac:dyDescent="0.2"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104">
        <f>SUM(L10:L29)</f>
        <v>398</v>
      </c>
      <c r="M30" s="104">
        <f>SUM(M10:M29)</f>
        <v>0</v>
      </c>
      <c r="N30" s="104">
        <f>SUM(N10:N29)</f>
        <v>398</v>
      </c>
      <c r="O30" s="105">
        <f>SUM(O10:O29)</f>
        <v>3512.4799999999991</v>
      </c>
      <c r="P30" s="106">
        <f>SUM(P10:P29)</f>
        <v>69813.440000000002</v>
      </c>
      <c r="Q30" s="97"/>
    </row>
    <row r="31" spans="1:17" ht="27" customHeight="1" x14ac:dyDescent="0.2">
      <c r="B31" s="217" t="s">
        <v>98</v>
      </c>
      <c r="C31" s="217"/>
      <c r="D31" s="98" t="s">
        <v>97</v>
      </c>
      <c r="E31" s="218" t="str">
        <f>Project!$G$30</f>
        <v>Benjamin Milandou-Loubeka</v>
      </c>
      <c r="F31" s="218"/>
      <c r="G31" s="218"/>
      <c r="H31" s="219" t="s">
        <v>101</v>
      </c>
      <c r="I31" s="220"/>
      <c r="J31" s="220"/>
      <c r="K31" s="220"/>
      <c r="L31" s="220"/>
      <c r="M31" s="220"/>
      <c r="N31" s="220"/>
      <c r="O31" s="220"/>
      <c r="P31" s="220"/>
      <c r="Q31" s="87"/>
    </row>
    <row r="32" spans="1:17" ht="27" customHeight="1" x14ac:dyDescent="0.2">
      <c r="B32" s="217"/>
      <c r="C32" s="217"/>
      <c r="D32" s="98" t="s">
        <v>100</v>
      </c>
      <c r="E32" s="221">
        <f>Project!$AN$1</f>
        <v>45199</v>
      </c>
      <c r="F32" s="221"/>
      <c r="G32" s="221"/>
      <c r="H32" s="219"/>
      <c r="I32" s="220"/>
      <c r="J32" s="220"/>
      <c r="K32" s="220"/>
      <c r="L32" s="220"/>
      <c r="M32" s="220"/>
      <c r="N32" s="220"/>
      <c r="O32" s="220"/>
      <c r="P32" s="220"/>
      <c r="Q32" s="87"/>
    </row>
    <row r="33" spans="2:17" ht="14.25" customHeight="1" x14ac:dyDescent="0.2">
      <c r="B33" s="88"/>
      <c r="C33" s="88"/>
      <c r="D33" s="99"/>
      <c r="E33" s="87"/>
      <c r="F33" s="87"/>
      <c r="G33" s="87"/>
      <c r="H33" s="81"/>
      <c r="I33" s="87"/>
      <c r="J33" s="87"/>
      <c r="K33" s="87"/>
      <c r="L33" s="87"/>
      <c r="M33" s="87"/>
      <c r="N33" s="87"/>
      <c r="O33" s="87"/>
      <c r="P33" s="87"/>
      <c r="Q33" s="87"/>
    </row>
    <row r="34" spans="2:17" ht="27" customHeight="1" x14ac:dyDescent="0.2">
      <c r="B34" s="217" t="s">
        <v>99</v>
      </c>
      <c r="C34" s="217"/>
      <c r="D34" s="98" t="s">
        <v>97</v>
      </c>
      <c r="E34" s="220"/>
      <c r="F34" s="220"/>
      <c r="G34" s="220"/>
      <c r="H34" s="219" t="s">
        <v>101</v>
      </c>
      <c r="I34" s="220"/>
      <c r="J34" s="220"/>
      <c r="K34" s="220"/>
      <c r="L34" s="220"/>
      <c r="M34" s="220"/>
      <c r="N34" s="220"/>
      <c r="O34" s="220"/>
      <c r="P34" s="220"/>
      <c r="Q34" s="87"/>
    </row>
    <row r="35" spans="2:17" ht="27" customHeight="1" x14ac:dyDescent="0.2">
      <c r="B35" s="217"/>
      <c r="C35" s="217"/>
      <c r="D35" s="98" t="s">
        <v>100</v>
      </c>
      <c r="E35" s="220"/>
      <c r="F35" s="220"/>
      <c r="G35" s="220"/>
      <c r="H35" s="219"/>
      <c r="I35" s="220"/>
      <c r="J35" s="220"/>
      <c r="K35" s="220"/>
      <c r="L35" s="220"/>
      <c r="M35" s="220"/>
      <c r="N35" s="220"/>
      <c r="O35" s="220"/>
      <c r="P35" s="220"/>
      <c r="Q35" s="87"/>
    </row>
    <row r="74" spans="2:2" x14ac:dyDescent="0.2">
      <c r="B74" s="87"/>
    </row>
  </sheetData>
  <sheetProtection algorithmName="SHA-512" hashValue="sg0vgz1yGiZjrW5TQj7qbAF85BMHl5Xjkemvno0VooZSds6wyWWrUM7pIoT8MhTZ8gq/YjkK72Qio/6Sk8sehg==" saltValue="cFkOGcwcyY3GSRw2emmyng==" spinCount="100000" sheet="1" selectLockedCells="1"/>
  <mergeCells count="14">
    <mergeCell ref="B34:C35"/>
    <mergeCell ref="E34:G34"/>
    <mergeCell ref="H34:H35"/>
    <mergeCell ref="I34:P35"/>
    <mergeCell ref="E35:G35"/>
    <mergeCell ref="B3:P3"/>
    <mergeCell ref="B5:C6"/>
    <mergeCell ref="D5:E6"/>
    <mergeCell ref="K5:M5"/>
    <mergeCell ref="B31:C32"/>
    <mergeCell ref="E31:G31"/>
    <mergeCell ref="H31:H32"/>
    <mergeCell ref="I31:P32"/>
    <mergeCell ref="E32:G32"/>
  </mergeCells>
  <conditionalFormatting sqref="C10:C21">
    <cfRule type="uniqueValues" dxfId="134" priority="9"/>
  </conditionalFormatting>
  <conditionalFormatting sqref="D10:D20">
    <cfRule type="uniqueValues" dxfId="133" priority="8"/>
  </conditionalFormatting>
  <conditionalFormatting sqref="D21:D28">
    <cfRule type="uniqueValues" dxfId="132" priority="7"/>
  </conditionalFormatting>
  <conditionalFormatting sqref="F10:F29">
    <cfRule type="expression" dxfId="131" priority="6">
      <formula>$C10=""</formula>
    </cfRule>
  </conditionalFormatting>
  <conditionalFormatting sqref="H10:I29">
    <cfRule type="expression" dxfId="130" priority="5">
      <formula>$C10=""</formula>
    </cfRule>
  </conditionalFormatting>
  <conditionalFormatting sqref="B10:B29">
    <cfRule type="expression" dxfId="129" priority="4">
      <formula>$C10=""</formula>
    </cfRule>
  </conditionalFormatting>
  <conditionalFormatting sqref="L10:L29">
    <cfRule type="cellIs" dxfId="128" priority="3" operator="equal">
      <formula>0</formula>
    </cfRule>
  </conditionalFormatting>
  <conditionalFormatting sqref="M10:N29">
    <cfRule type="expression" dxfId="127" priority="2">
      <formula>$C10=""</formula>
    </cfRule>
  </conditionalFormatting>
  <conditionalFormatting sqref="O10:P29">
    <cfRule type="expression" dxfId="126" priority="1">
      <formula>$C10=""</formula>
    </cfRule>
  </conditionalFormatting>
  <dataValidations count="1">
    <dataValidation allowBlank="1" showInputMessage="1" showErrorMessage="1" promptTitle="Month" sqref="I6" xr:uid="{ED407749-D5B5-4CE9-BA07-5EFD69901D98}"/>
  </dataValidations>
  <pageMargins left="0.23622047244094491" right="0.23622047244094491" top="0.74803149606299213" bottom="0.74803149606299213" header="0.31496062992125984" footer="0.31496062992125984"/>
  <pageSetup paperSize="9" scale="86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134D1-8B80-499F-BF1A-08D198082B11}">
  <sheetPr codeName="Sheet16">
    <pageSetUpPr fitToPage="1"/>
  </sheetPr>
  <dimension ref="A1:R74"/>
  <sheetViews>
    <sheetView showGridLines="0" zoomScaleNormal="100" workbookViewId="0">
      <selection activeCell="L10" sqref="L10"/>
    </sheetView>
  </sheetViews>
  <sheetFormatPr defaultColWidth="8.85546875" defaultRowHeight="12.75" x14ac:dyDescent="0.2"/>
  <cols>
    <col min="1" max="1" width="20.7109375" style="76" customWidth="1"/>
    <col min="2" max="2" width="4.42578125" style="80" customWidth="1"/>
    <col min="3" max="5" width="24.42578125" style="80" customWidth="1"/>
    <col min="6" max="6" width="10.140625" style="80" customWidth="1"/>
    <col min="7" max="9" width="8.85546875" style="80"/>
    <col min="10" max="11" width="10.140625" style="80" bestFit="1" customWidth="1"/>
    <col min="12" max="15" width="13.7109375" style="80" customWidth="1"/>
    <col min="16" max="17" width="14.5703125" style="80" customWidth="1"/>
    <col min="18" max="18" width="8.85546875" style="150"/>
    <col min="19" max="16384" width="8.85546875" style="80"/>
  </cols>
  <sheetData>
    <row r="1" spans="1:18" ht="15.75" x14ac:dyDescent="0.25">
      <c r="B1" s="77" t="s">
        <v>44</v>
      </c>
      <c r="C1" s="78"/>
      <c r="D1" s="78"/>
      <c r="E1" s="79" t="s">
        <v>1</v>
      </c>
      <c r="G1" s="78"/>
      <c r="H1" s="78"/>
      <c r="I1" s="78"/>
      <c r="R1" s="114">
        <f>IF(Beneficiaries!$P$30&gt;0,1,"")</f>
        <v>1</v>
      </c>
    </row>
    <row r="2" spans="1:18" ht="15.75" x14ac:dyDescent="0.25"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114">
        <f>IF('Beneficiaries (2)'!$P$30&gt;0,1,"")</f>
        <v>1</v>
      </c>
    </row>
    <row r="3" spans="1:18" x14ac:dyDescent="0.2">
      <c r="B3" s="210" t="s">
        <v>28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81"/>
      <c r="R3" s="114">
        <f>IF('Beneficiaries (3)'!$P$30&gt;0,1,"")</f>
        <v>1</v>
      </c>
    </row>
    <row r="4" spans="1:18" x14ac:dyDescent="0.2">
      <c r="C4" s="77"/>
      <c r="D4" s="77"/>
      <c r="E4" s="77"/>
      <c r="F4" s="77"/>
      <c r="G4" s="77"/>
      <c r="R4" s="114">
        <f>IF('Beneficiaries (4)'!$P$30&gt;0,1,"")</f>
        <v>1</v>
      </c>
    </row>
    <row r="5" spans="1:18" ht="12.75" customHeight="1" x14ac:dyDescent="0.2">
      <c r="B5" s="211" t="s">
        <v>12</v>
      </c>
      <c r="C5" s="212"/>
      <c r="D5" s="215" t="str">
        <f>Project!$Z$25</f>
        <v>WSDS/24/111i</v>
      </c>
      <c r="E5" s="215"/>
      <c r="F5" s="82"/>
      <c r="H5" s="83" t="s">
        <v>80</v>
      </c>
      <c r="I5" s="83" t="s">
        <v>81</v>
      </c>
      <c r="J5" s="77"/>
      <c r="K5" s="216" t="s">
        <v>78</v>
      </c>
      <c r="L5" s="216"/>
      <c r="M5" s="216"/>
      <c r="N5" s="85"/>
      <c r="O5" s="85"/>
      <c r="P5" s="77"/>
      <c r="Q5" s="77"/>
      <c r="R5" s="114">
        <f>IF('Beneficiaries (5)'!$P$30&gt;0,1,"")</f>
        <v>1</v>
      </c>
    </row>
    <row r="6" spans="1:18" x14ac:dyDescent="0.2">
      <c r="B6" s="213"/>
      <c r="C6" s="214"/>
      <c r="D6" s="215"/>
      <c r="E6" s="215"/>
      <c r="F6" s="82"/>
      <c r="H6" s="112" t="str">
        <f>TEXT(Project!$AN$1,"YYYY")</f>
        <v>2023</v>
      </c>
      <c r="I6" s="112" t="str">
        <f>TEXT(Project!$AN$1,"MMMM")</f>
        <v>September</v>
      </c>
      <c r="J6" s="86"/>
      <c r="K6" s="57">
        <v>1</v>
      </c>
      <c r="L6" s="84" t="s">
        <v>79</v>
      </c>
      <c r="M6" s="113">
        <f>IF(K6&gt;0,COUNT(R1:R20),"")</f>
        <v>14</v>
      </c>
      <c r="N6" s="85"/>
      <c r="O6" s="85"/>
      <c r="P6" s="87"/>
      <c r="Q6" s="87"/>
      <c r="R6" s="114">
        <f>IF('Beneficiaries (6)'!$P$30&gt;0,1,"")</f>
        <v>1</v>
      </c>
    </row>
    <row r="7" spans="1:18" x14ac:dyDescent="0.2">
      <c r="B7" s="88"/>
      <c r="C7" s="88"/>
      <c r="D7" s="88"/>
      <c r="E7" s="87"/>
      <c r="F7" s="87"/>
      <c r="H7" s="86"/>
      <c r="I7" s="86"/>
      <c r="J7" s="86"/>
      <c r="K7" s="87"/>
      <c r="L7" s="85"/>
      <c r="M7" s="85"/>
      <c r="N7" s="85"/>
      <c r="O7" s="85"/>
      <c r="P7" s="87"/>
      <c r="Q7" s="87"/>
      <c r="R7" s="114">
        <f>IF('Beneficiaries (7)'!$P$30&gt;0,1,"")</f>
        <v>1</v>
      </c>
    </row>
    <row r="8" spans="1:18" x14ac:dyDescent="0.2">
      <c r="B8" s="89"/>
      <c r="C8" s="90" t="s">
        <v>34</v>
      </c>
      <c r="D8" s="90" t="s">
        <v>34</v>
      </c>
      <c r="E8" s="90" t="s">
        <v>34</v>
      </c>
      <c r="F8" s="90" t="s">
        <v>35</v>
      </c>
      <c r="G8" s="89"/>
      <c r="H8" s="89"/>
      <c r="I8" s="90" t="s">
        <v>36</v>
      </c>
      <c r="J8" s="89"/>
      <c r="K8" s="90" t="s">
        <v>37</v>
      </c>
      <c r="L8" s="90" t="s">
        <v>38</v>
      </c>
      <c r="M8" s="90" t="s">
        <v>42</v>
      </c>
      <c r="N8" s="90"/>
      <c r="O8" s="90" t="s">
        <v>104</v>
      </c>
      <c r="P8" s="90"/>
      <c r="Q8" s="91"/>
      <c r="R8" s="114">
        <f>IF('Beneficiaries (8)'!$P$30&gt;0,1,"")</f>
        <v>1</v>
      </c>
    </row>
    <row r="9" spans="1:18" ht="45" x14ac:dyDescent="0.2">
      <c r="B9" s="92" t="s">
        <v>29</v>
      </c>
      <c r="C9" s="92" t="s">
        <v>30</v>
      </c>
      <c r="D9" s="92" t="s">
        <v>31</v>
      </c>
      <c r="E9" s="92" t="s">
        <v>32</v>
      </c>
      <c r="F9" s="93" t="s">
        <v>96</v>
      </c>
      <c r="G9" s="93" t="s">
        <v>33</v>
      </c>
      <c r="H9" s="93" t="s">
        <v>76</v>
      </c>
      <c r="I9" s="93" t="s">
        <v>77</v>
      </c>
      <c r="J9" s="93" t="s">
        <v>95</v>
      </c>
      <c r="K9" s="93" t="s">
        <v>94</v>
      </c>
      <c r="L9" s="93" t="s">
        <v>41</v>
      </c>
      <c r="M9" s="93" t="s">
        <v>103</v>
      </c>
      <c r="N9" s="93" t="s">
        <v>116</v>
      </c>
      <c r="O9" s="93" t="s">
        <v>102</v>
      </c>
      <c r="P9" s="93" t="s">
        <v>117</v>
      </c>
      <c r="Q9" s="94"/>
      <c r="R9" s="114">
        <f>IF('Beneficiaries (9)'!$P$30&gt;0,1,"")</f>
        <v>1</v>
      </c>
    </row>
    <row r="10" spans="1:18" x14ac:dyDescent="0.2">
      <c r="A10" s="100" t="str">
        <f>ID_Valid(E10)</f>
        <v/>
      </c>
      <c r="B10" s="72">
        <v>21</v>
      </c>
      <c r="C10" s="107" t="str">
        <f>IFERROR(INDEX(Logs!$B$2:$B$500,MATCH('Beneficiaries (2)'!$B10,Logs!$A$2:$A$500,0)),"")</f>
        <v>Funyanwa</v>
      </c>
      <c r="D10" s="107" t="str">
        <f>IFERROR(INDEX(Logs!$C$2:$C$500,MATCH('Beneficiaries (2)'!$B10,Logs!$A$2:$A$500,0)),"")</f>
        <v>Sobekwa-Qudalele</v>
      </c>
      <c r="E10" s="108" t="str">
        <f>IFERROR(INDEX(Logs!$D$2:$D$500,MATCH('Beneficiaries (2)'!$B10,Logs!$A$2:$A$500,0)),"")</f>
        <v>7912180403080</v>
      </c>
      <c r="F10" s="73" t="s">
        <v>761</v>
      </c>
      <c r="G10" s="101" t="str">
        <f t="shared" ref="G10:G29" si="0">TheGender(E10)</f>
        <v>F</v>
      </c>
      <c r="H10" s="72" t="s">
        <v>761</v>
      </c>
      <c r="I10" s="74" t="s">
        <v>762</v>
      </c>
      <c r="J10" s="110" t="str">
        <f>IFERROR(INDEX(Logs!$E$2:$E$500,MATCH('Beneficiaries (2)'!$B10,Logs!$A$2:$A$500,0)),"")</f>
        <v>03/09/2021</v>
      </c>
      <c r="K10" s="110" t="str">
        <f>IFERROR(INDEX(Logs!$F$2:$F$500,MATCH('Beneficiaries (2)'!$B10,Logs!$A$2:$A$500,0)),"")</f>
        <v>30/09/2023</v>
      </c>
      <c r="L10" s="111">
        <f>IFERROR(INDEX(Logs!$G$2:$G$500,MATCH('Beneficiaries (2)'!$B10,Logs!$A$2:$A$500,0)),0)</f>
        <v>26</v>
      </c>
      <c r="M10" s="72">
        <v>0</v>
      </c>
      <c r="N10" s="101">
        <f>M10+L10</f>
        <v>26</v>
      </c>
      <c r="O10" s="102">
        <f>IFERROR(INDEX(Logs!$H$2:$H$500,MATCH('Beneficiaries (2)'!$B10,Logs!$A$2:$A$500,0)),)</f>
        <v>204.16</v>
      </c>
      <c r="P10" s="103">
        <f>IFERROR(N10*O10,0)</f>
        <v>5308.16</v>
      </c>
      <c r="Q10" s="95"/>
      <c r="R10" s="114">
        <f>IF('Beneficiaries (10)'!$P$30&gt;0,1,"")</f>
        <v>1</v>
      </c>
    </row>
    <row r="11" spans="1:18" x14ac:dyDescent="0.2">
      <c r="A11" s="100" t="str">
        <f t="shared" ref="A11:A29" si="1">ID_Valid(E11)</f>
        <v/>
      </c>
      <c r="B11" s="72">
        <v>22</v>
      </c>
      <c r="C11" s="107" t="str">
        <f>IFERROR(INDEX(Logs!$B$2:$B$500,MATCH('Beneficiaries (2)'!$B11,Logs!$A$2:$A$500,0)),"")</f>
        <v>Siphokazi</v>
      </c>
      <c r="D11" s="107" t="str">
        <f>IFERROR(INDEX(Logs!$C$2:$C$500,MATCH('Beneficiaries (2)'!$B11,Logs!$A$2:$A$500,0)),"")</f>
        <v>Dube</v>
      </c>
      <c r="E11" s="108" t="str">
        <f>IFERROR(INDEX(Logs!$D$2:$D$500,MATCH('Beneficiaries (2)'!$B11,Logs!$A$2:$A$500,0)),"")</f>
        <v>8508310446087</v>
      </c>
      <c r="F11" s="73" t="s">
        <v>761</v>
      </c>
      <c r="G11" s="101" t="str">
        <f t="shared" si="0"/>
        <v>F</v>
      </c>
      <c r="H11" s="72" t="s">
        <v>761</v>
      </c>
      <c r="I11" s="72" t="s">
        <v>762</v>
      </c>
      <c r="J11" s="111" t="str">
        <f>IFERROR(INDEX(Logs!$E$2:$E$500,MATCH('Beneficiaries (2)'!$B11,Logs!$A$2:$A$500,0)),"")</f>
        <v>21/11/0001</v>
      </c>
      <c r="K11" s="111" t="str">
        <f>IFERROR(INDEX(Logs!$F$2:$F$500,MATCH('Beneficiaries (2)'!$B11,Logs!$A$2:$A$500,0)),"")</f>
        <v>31/10/2023</v>
      </c>
      <c r="L11" s="111">
        <f>IFERROR(INDEX(Logs!$G$2:$G$500,MATCH('Beneficiaries (2)'!$B11,Logs!$A$2:$A$500,0)),0)</f>
        <v>17</v>
      </c>
      <c r="M11" s="72">
        <v>0</v>
      </c>
      <c r="N11" s="101">
        <f>L11+M11</f>
        <v>17</v>
      </c>
      <c r="O11" s="102">
        <f>IFERROR(INDEX(Logs!$H$2:$H$500,MATCH('Beneficiaries (2)'!$B11,Logs!$A$2:$A$500,0)),)</f>
        <v>218.08</v>
      </c>
      <c r="P11" s="103">
        <f t="shared" ref="P11:P29" si="2">IFERROR(N11*O11,0)</f>
        <v>3707.36</v>
      </c>
      <c r="Q11" s="95"/>
      <c r="R11" s="114">
        <f>IF('Beneficiaries (11)'!$P$30&gt;0,1,"")</f>
        <v>1</v>
      </c>
    </row>
    <row r="12" spans="1:18" x14ac:dyDescent="0.2">
      <c r="A12" s="100" t="str">
        <f t="shared" si="1"/>
        <v/>
      </c>
      <c r="B12" s="72">
        <v>23</v>
      </c>
      <c r="C12" s="107" t="str">
        <f>IFERROR(INDEX(Logs!$B$2:$B$500,MATCH('Beneficiaries (2)'!$B12,Logs!$A$2:$A$500,0)),"")</f>
        <v>Vuyiswa</v>
      </c>
      <c r="D12" s="107" t="str">
        <f>IFERROR(INDEX(Logs!$C$2:$C$500,MATCH('Beneficiaries (2)'!$B12,Logs!$A$2:$A$500,0)),"")</f>
        <v>Damane</v>
      </c>
      <c r="E12" s="108" t="str">
        <f>IFERROR(INDEX(Logs!$D$2:$D$500,MATCH('Beneficiaries (2)'!$B12,Logs!$A$2:$A$500,0)),"")</f>
        <v>8008101327083</v>
      </c>
      <c r="F12" s="73" t="s">
        <v>761</v>
      </c>
      <c r="G12" s="101" t="str">
        <f t="shared" si="0"/>
        <v>F</v>
      </c>
      <c r="H12" s="72" t="s">
        <v>761</v>
      </c>
      <c r="I12" s="72" t="s">
        <v>762</v>
      </c>
      <c r="J12" s="111" t="str">
        <f>IFERROR(INDEX(Logs!$E$2:$E$500,MATCH('Beneficiaries (2)'!$B12,Logs!$A$2:$A$500,0)),"")</f>
        <v>13/06/0007</v>
      </c>
      <c r="K12" s="111" t="str">
        <f>IFERROR(INDEX(Logs!$F$2:$F$500,MATCH('Beneficiaries (2)'!$B12,Logs!$A$2:$A$500,0)),"")</f>
        <v>30/09/2023</v>
      </c>
      <c r="L12" s="111">
        <f>IFERROR(INDEX(Logs!$G$2:$G$500,MATCH('Beneficiaries (2)'!$B12,Logs!$A$2:$A$500,0)),0)</f>
        <v>21</v>
      </c>
      <c r="M12" s="72">
        <v>0</v>
      </c>
      <c r="N12" s="101">
        <f t="shared" ref="N12:N29" si="3">L12+M12</f>
        <v>21</v>
      </c>
      <c r="O12" s="102">
        <f>IFERROR(INDEX(Logs!$H$2:$H$500,MATCH('Beneficiaries (2)'!$B12,Logs!$A$2:$A$500,0)),)</f>
        <v>204.16</v>
      </c>
      <c r="P12" s="103">
        <f t="shared" si="2"/>
        <v>4287.3599999999997</v>
      </c>
      <c r="Q12" s="95"/>
      <c r="R12" s="114">
        <f>IF('Beneficiaries (12)'!$P$30&gt;0,1,"")</f>
        <v>1</v>
      </c>
    </row>
    <row r="13" spans="1:18" x14ac:dyDescent="0.2">
      <c r="A13" s="100" t="str">
        <f t="shared" si="1"/>
        <v/>
      </c>
      <c r="B13" s="72">
        <v>24</v>
      </c>
      <c r="C13" s="107" t="str">
        <f>IFERROR(INDEX(Logs!$B$2:$B$500,MATCH('Beneficiaries (2)'!$B13,Logs!$A$2:$A$500,0)),"")</f>
        <v>Babalwa</v>
      </c>
      <c r="D13" s="107" t="str">
        <f>IFERROR(INDEX(Logs!$C$2:$C$500,MATCH('Beneficiaries (2)'!$B13,Logs!$A$2:$A$500,0)),"")</f>
        <v>Mchenge</v>
      </c>
      <c r="E13" s="108" t="str">
        <f>IFERROR(INDEX(Logs!$D$2:$D$500,MATCH('Beneficiaries (2)'!$B13,Logs!$A$2:$A$500,0)),"")</f>
        <v>8404031198084</v>
      </c>
      <c r="F13" s="73" t="s">
        <v>761</v>
      </c>
      <c r="G13" s="101" t="str">
        <f t="shared" si="0"/>
        <v>F</v>
      </c>
      <c r="H13" s="72" t="s">
        <v>761</v>
      </c>
      <c r="I13" s="72" t="s">
        <v>762</v>
      </c>
      <c r="J13" s="111" t="str">
        <f>IFERROR(INDEX(Logs!$E$2:$E$500,MATCH('Beneficiaries (2)'!$B13,Logs!$A$2:$A$500,0)),"")</f>
        <v>11/12/2021</v>
      </c>
      <c r="K13" s="111" t="str">
        <f>IFERROR(INDEX(Logs!$F$2:$F$500,MATCH('Beneficiaries (2)'!$B13,Logs!$A$2:$A$500,0)),"")</f>
        <v>30/09/2023</v>
      </c>
      <c r="L13" s="111">
        <f>IFERROR(INDEX(Logs!$G$2:$G$500,MATCH('Beneficiaries (2)'!$B13,Logs!$A$2:$A$500,0)),0)</f>
        <v>26</v>
      </c>
      <c r="M13" s="72">
        <v>0</v>
      </c>
      <c r="N13" s="101">
        <f t="shared" si="3"/>
        <v>26</v>
      </c>
      <c r="O13" s="102">
        <f>IFERROR(INDEX(Logs!$H$2:$H$500,MATCH('Beneficiaries (2)'!$B13,Logs!$A$2:$A$500,0)),)</f>
        <v>204.16</v>
      </c>
      <c r="P13" s="103">
        <f t="shared" si="2"/>
        <v>5308.16</v>
      </c>
      <c r="Q13" s="95"/>
      <c r="R13" s="114">
        <f>IF('Beneficiaries (13)'!$P$30&gt;0,1,"")</f>
        <v>1</v>
      </c>
    </row>
    <row r="14" spans="1:18" x14ac:dyDescent="0.2">
      <c r="A14" s="100" t="str">
        <f t="shared" si="1"/>
        <v/>
      </c>
      <c r="B14" s="72">
        <v>25</v>
      </c>
      <c r="C14" s="107" t="str">
        <f>IFERROR(INDEX(Logs!$B$2:$B$500,MATCH('Beneficiaries (2)'!$B14,Logs!$A$2:$A$500,0)),"")</f>
        <v>Louisa</v>
      </c>
      <c r="D14" s="107" t="str">
        <f>IFERROR(INDEX(Logs!$C$2:$C$500,MATCH('Beneficiaries (2)'!$B14,Logs!$A$2:$A$500,0)),"")</f>
        <v>Theron</v>
      </c>
      <c r="E14" s="108" t="str">
        <f>IFERROR(INDEX(Logs!$D$2:$D$500,MATCH('Beneficiaries (2)'!$B14,Logs!$A$2:$A$500,0)),"")</f>
        <v>7004010991086</v>
      </c>
      <c r="F14" s="73" t="s">
        <v>761</v>
      </c>
      <c r="G14" s="101" t="str">
        <f t="shared" si="0"/>
        <v>F</v>
      </c>
      <c r="H14" s="72" t="s">
        <v>761</v>
      </c>
      <c r="I14" s="72" t="s">
        <v>762</v>
      </c>
      <c r="J14" s="111" t="str">
        <f>IFERROR(INDEX(Logs!$E$2:$E$500,MATCH('Beneficiaries (2)'!$B14,Logs!$A$2:$A$500,0)),"")</f>
        <v>01/03/2022</v>
      </c>
      <c r="K14" s="111" t="str">
        <f>IFERROR(INDEX(Logs!$F$2:$F$500,MATCH('Beneficiaries (2)'!$B14,Logs!$A$2:$A$500,0)),"")</f>
        <v>30/09/2023</v>
      </c>
      <c r="L14" s="111">
        <f>IFERROR(INDEX(Logs!$G$2:$G$500,MATCH('Beneficiaries (2)'!$B14,Logs!$A$2:$A$500,0)),0)</f>
        <v>22</v>
      </c>
      <c r="M14" s="72">
        <v>0</v>
      </c>
      <c r="N14" s="101">
        <f t="shared" si="3"/>
        <v>22</v>
      </c>
      <c r="O14" s="102">
        <f>IFERROR(INDEX(Logs!$H$2:$H$500,MATCH('Beneficiaries (2)'!$B14,Logs!$A$2:$A$500,0)),)</f>
        <v>204.16</v>
      </c>
      <c r="P14" s="103">
        <f t="shared" si="2"/>
        <v>4491.5199999999995</v>
      </c>
      <c r="Q14" s="95"/>
      <c r="R14" s="114">
        <f>IF('Beneficiaries (14)'!$P$30&gt;0,1,"")</f>
        <v>1</v>
      </c>
    </row>
    <row r="15" spans="1:18" x14ac:dyDescent="0.2">
      <c r="A15" s="100" t="str">
        <f t="shared" si="1"/>
        <v/>
      </c>
      <c r="B15" s="72">
        <v>26</v>
      </c>
      <c r="C15" s="107" t="str">
        <f>IFERROR(INDEX(Logs!$B$2:$B$500,MATCH('Beneficiaries (2)'!$B15,Logs!$A$2:$A$500,0)),"")</f>
        <v>Kekeletso</v>
      </c>
      <c r="D15" s="107" t="str">
        <f>IFERROR(INDEX(Logs!$C$2:$C$500,MATCH('Beneficiaries (2)'!$B15,Logs!$A$2:$A$500,0)),"")</f>
        <v>Sello</v>
      </c>
      <c r="E15" s="108" t="str">
        <f>IFERROR(INDEX(Logs!$D$2:$D$500,MATCH('Beneficiaries (2)'!$B15,Logs!$A$2:$A$500,0)),"")</f>
        <v>7903310506082</v>
      </c>
      <c r="F15" s="73" t="s">
        <v>761</v>
      </c>
      <c r="G15" s="101" t="str">
        <f t="shared" si="0"/>
        <v>F</v>
      </c>
      <c r="H15" s="72" t="s">
        <v>761</v>
      </c>
      <c r="I15" s="72" t="s">
        <v>762</v>
      </c>
      <c r="J15" s="111" t="str">
        <f>IFERROR(INDEX(Logs!$E$2:$E$500,MATCH('Beneficiaries (2)'!$B15,Logs!$A$2:$A$500,0)),"")</f>
        <v>01/03/2022</v>
      </c>
      <c r="K15" s="111" t="str">
        <f>IFERROR(INDEX(Logs!$F$2:$F$500,MATCH('Beneficiaries (2)'!$B15,Logs!$A$2:$A$500,0)),"")</f>
        <v>30/09/2023</v>
      </c>
      <c r="L15" s="111">
        <f>IFERROR(INDEX(Logs!$G$2:$G$500,MATCH('Beneficiaries (2)'!$B15,Logs!$A$2:$A$500,0)),0)</f>
        <v>22</v>
      </c>
      <c r="M15" s="72">
        <v>0</v>
      </c>
      <c r="N15" s="101">
        <f t="shared" si="3"/>
        <v>22</v>
      </c>
      <c r="O15" s="102">
        <f>IFERROR(INDEX(Logs!$H$2:$H$500,MATCH('Beneficiaries (2)'!$B15,Logs!$A$2:$A$500,0)),)</f>
        <v>204.16</v>
      </c>
      <c r="P15" s="103">
        <f t="shared" si="2"/>
        <v>4491.5199999999995</v>
      </c>
      <c r="Q15" s="95"/>
      <c r="R15" s="115"/>
    </row>
    <row r="16" spans="1:18" x14ac:dyDescent="0.2">
      <c r="A16" s="100" t="str">
        <f t="shared" si="1"/>
        <v/>
      </c>
      <c r="B16" s="72">
        <v>27</v>
      </c>
      <c r="C16" s="107" t="str">
        <f>IFERROR(INDEX(Logs!$B$2:$B$500,MATCH('Beneficiaries (2)'!$B16,Logs!$A$2:$A$500,0)),"")</f>
        <v>Ntomboxolo</v>
      </c>
      <c r="D16" s="107" t="str">
        <f>IFERROR(INDEX(Logs!$C$2:$C$500,MATCH('Beneficiaries (2)'!$B16,Logs!$A$2:$A$500,0)),"")</f>
        <v>Yaya</v>
      </c>
      <c r="E16" s="108" t="str">
        <f>IFERROR(INDEX(Logs!$D$2:$D$500,MATCH('Beneficiaries (2)'!$B16,Logs!$A$2:$A$500,0)),"")</f>
        <v>8608030397089</v>
      </c>
      <c r="F16" s="73" t="s">
        <v>761</v>
      </c>
      <c r="G16" s="101" t="str">
        <f t="shared" si="0"/>
        <v>F</v>
      </c>
      <c r="H16" s="72" t="s">
        <v>761</v>
      </c>
      <c r="I16" s="72" t="s">
        <v>762</v>
      </c>
      <c r="J16" s="111" t="str">
        <f>IFERROR(INDEX(Logs!$E$2:$E$500,MATCH('Beneficiaries (2)'!$B16,Logs!$A$2:$A$500,0)),"")</f>
        <v>05/03/2022</v>
      </c>
      <c r="K16" s="111" t="str">
        <f>IFERROR(INDEX(Logs!$F$2:$F$500,MATCH('Beneficiaries (2)'!$B16,Logs!$A$2:$A$500,0)),"")</f>
        <v>30/09/2023</v>
      </c>
      <c r="L16" s="111">
        <f>IFERROR(INDEX(Logs!$G$2:$G$500,MATCH('Beneficiaries (2)'!$B16,Logs!$A$2:$A$500,0)),0)</f>
        <v>26</v>
      </c>
      <c r="M16" s="72">
        <v>0</v>
      </c>
      <c r="N16" s="101">
        <f t="shared" si="3"/>
        <v>26</v>
      </c>
      <c r="O16" s="102">
        <f>IFERROR(INDEX(Logs!$H$2:$H$500,MATCH('Beneficiaries (2)'!$B16,Logs!$A$2:$A$500,0)),)</f>
        <v>204.16</v>
      </c>
      <c r="P16" s="103">
        <f t="shared" si="2"/>
        <v>5308.16</v>
      </c>
      <c r="Q16" s="95"/>
      <c r="R16" s="115"/>
    </row>
    <row r="17" spans="1:17" x14ac:dyDescent="0.2">
      <c r="A17" s="100" t="str">
        <f t="shared" si="1"/>
        <v/>
      </c>
      <c r="B17" s="72">
        <v>28</v>
      </c>
      <c r="C17" s="107" t="str">
        <f>IFERROR(INDEX(Logs!$B$2:$B$500,MATCH('Beneficiaries (2)'!$B17,Logs!$A$2:$A$500,0)),"")</f>
        <v>Nokubonga</v>
      </c>
      <c r="D17" s="107" t="str">
        <f>IFERROR(INDEX(Logs!$C$2:$C$500,MATCH('Beneficiaries (2)'!$B17,Logs!$A$2:$A$500,0)),"")</f>
        <v>Mkondo</v>
      </c>
      <c r="E17" s="108" t="str">
        <f>IFERROR(INDEX(Logs!$D$2:$D$500,MATCH('Beneficiaries (2)'!$B17,Logs!$A$2:$A$500,0)),"")</f>
        <v>8210250941082</v>
      </c>
      <c r="F17" s="73" t="s">
        <v>761</v>
      </c>
      <c r="G17" s="101" t="str">
        <f t="shared" si="0"/>
        <v>F</v>
      </c>
      <c r="H17" s="72" t="s">
        <v>761</v>
      </c>
      <c r="I17" s="72" t="s">
        <v>762</v>
      </c>
      <c r="J17" s="111" t="str">
        <f>IFERROR(INDEX(Logs!$E$2:$E$500,MATCH('Beneficiaries (2)'!$B17,Logs!$A$2:$A$500,0)),"")</f>
        <v>05/03/2022</v>
      </c>
      <c r="K17" s="111" t="str">
        <f>IFERROR(INDEX(Logs!$F$2:$F$500,MATCH('Beneficiaries (2)'!$B17,Logs!$A$2:$A$500,0)),"")</f>
        <v>30/09/2023</v>
      </c>
      <c r="L17" s="111">
        <f>IFERROR(INDEX(Logs!$G$2:$G$500,MATCH('Beneficiaries (2)'!$B17,Logs!$A$2:$A$500,0)),0)</f>
        <v>26</v>
      </c>
      <c r="M17" s="72">
        <v>0</v>
      </c>
      <c r="N17" s="101">
        <f t="shared" si="3"/>
        <v>26</v>
      </c>
      <c r="O17" s="102">
        <f>IFERROR(INDEX(Logs!$H$2:$H$500,MATCH('Beneficiaries (2)'!$B17,Logs!$A$2:$A$500,0)),)</f>
        <v>204.16</v>
      </c>
      <c r="P17" s="103">
        <f t="shared" si="2"/>
        <v>5308.16</v>
      </c>
      <c r="Q17" s="95"/>
    </row>
    <row r="18" spans="1:17" x14ac:dyDescent="0.2">
      <c r="A18" s="100" t="str">
        <f t="shared" si="1"/>
        <v>INVALID ID - Check Digit</v>
      </c>
      <c r="B18" s="72">
        <v>29</v>
      </c>
      <c r="C18" s="107" t="str">
        <f>IFERROR(INDEX(Logs!$B$2:$B$500,MATCH('Beneficiaries (2)'!$B18,Logs!$A$2:$A$500,0)),"")</f>
        <v>Ntandazo</v>
      </c>
      <c r="D18" s="107" t="str">
        <f>IFERROR(INDEX(Logs!$C$2:$C$500,MATCH('Beneficiaries (2)'!$B18,Logs!$A$2:$A$500,0)),"")</f>
        <v>Baphi</v>
      </c>
      <c r="E18" s="108" t="str">
        <f>IFERROR(INDEX(Logs!$D$2:$D$500,MATCH('Beneficiaries (2)'!$B18,Logs!$A$2:$A$500,0)),"")</f>
        <v>8303037251087</v>
      </c>
      <c r="F18" s="73" t="s">
        <v>761</v>
      </c>
      <c r="G18" s="101" t="str">
        <f t="shared" si="0"/>
        <v>M</v>
      </c>
      <c r="H18" s="72" t="s">
        <v>761</v>
      </c>
      <c r="I18" s="72" t="s">
        <v>762</v>
      </c>
      <c r="J18" s="111" t="str">
        <f>IFERROR(INDEX(Logs!$E$2:$E$500,MATCH('Beneficiaries (2)'!$B18,Logs!$A$2:$A$500,0)),"")</f>
        <v>12/09/0013</v>
      </c>
      <c r="K18" s="111" t="str">
        <f>IFERROR(INDEX(Logs!$F$2:$F$500,MATCH('Beneficiaries (2)'!$B18,Logs!$A$2:$A$500,0)),"")</f>
        <v>30/09/2023</v>
      </c>
      <c r="L18" s="111">
        <f>IFERROR(INDEX(Logs!$G$2:$G$500,MATCH('Beneficiaries (2)'!$B18,Logs!$A$2:$A$500,0)),0)</f>
        <v>18</v>
      </c>
      <c r="M18" s="72">
        <v>0</v>
      </c>
      <c r="N18" s="101">
        <f t="shared" si="3"/>
        <v>18</v>
      </c>
      <c r="O18" s="102">
        <f>IFERROR(INDEX(Logs!$H$2:$H$500,MATCH('Beneficiaries (2)'!$B18,Logs!$A$2:$A$500,0)),)</f>
        <v>204.16</v>
      </c>
      <c r="P18" s="103">
        <f t="shared" si="2"/>
        <v>3674.88</v>
      </c>
      <c r="Q18" s="95"/>
    </row>
    <row r="19" spans="1:17" x14ac:dyDescent="0.2">
      <c r="A19" s="100" t="str">
        <f t="shared" si="1"/>
        <v/>
      </c>
      <c r="B19" s="72">
        <v>30</v>
      </c>
      <c r="C19" s="107" t="str">
        <f>IFERROR(INDEX(Logs!$B$2:$B$500,MATCH('Beneficiaries (2)'!$B19,Logs!$A$2:$A$500,0)),"")</f>
        <v>Ntombesiphelo</v>
      </c>
      <c r="D19" s="107" t="str">
        <f>IFERROR(INDEX(Logs!$C$2:$C$500,MATCH('Beneficiaries (2)'!$B19,Logs!$A$2:$A$500,0)),"")</f>
        <v>Diniso</v>
      </c>
      <c r="E19" s="108" t="str">
        <f>IFERROR(INDEX(Logs!$D$2:$D$500,MATCH('Beneficiaries (2)'!$B19,Logs!$A$2:$A$500,0)),"")</f>
        <v>9903201025083</v>
      </c>
      <c r="F19" s="73" t="s">
        <v>761</v>
      </c>
      <c r="G19" s="101" t="str">
        <f t="shared" si="0"/>
        <v>F</v>
      </c>
      <c r="H19" s="72" t="s">
        <v>761</v>
      </c>
      <c r="I19" s="72" t="s">
        <v>762</v>
      </c>
      <c r="J19" s="111" t="str">
        <f>IFERROR(INDEX(Logs!$E$2:$E$500,MATCH('Beneficiaries (2)'!$B19,Logs!$A$2:$A$500,0)),"")</f>
        <v>01/05/2022</v>
      </c>
      <c r="K19" s="111" t="str">
        <f>IFERROR(INDEX(Logs!$F$2:$F$500,MATCH('Beneficiaries (2)'!$B19,Logs!$A$2:$A$500,0)),"")</f>
        <v>30/09/2023</v>
      </c>
      <c r="L19" s="111">
        <f>IFERROR(INDEX(Logs!$G$2:$G$500,MATCH('Beneficiaries (2)'!$B19,Logs!$A$2:$A$500,0)),0)</f>
        <v>22</v>
      </c>
      <c r="M19" s="72">
        <v>0</v>
      </c>
      <c r="N19" s="101">
        <f t="shared" si="3"/>
        <v>22</v>
      </c>
      <c r="O19" s="102">
        <f>IFERROR(INDEX(Logs!$H$2:$H$500,MATCH('Beneficiaries (2)'!$B19,Logs!$A$2:$A$500,0)),)</f>
        <v>204.16</v>
      </c>
      <c r="P19" s="103">
        <f t="shared" si="2"/>
        <v>4491.5199999999995</v>
      </c>
      <c r="Q19" s="95"/>
    </row>
    <row r="20" spans="1:17" x14ac:dyDescent="0.2">
      <c r="A20" s="100" t="str">
        <f t="shared" si="1"/>
        <v/>
      </c>
      <c r="B20" s="72">
        <v>31</v>
      </c>
      <c r="C20" s="107" t="str">
        <f>IFERROR(INDEX(Logs!$B$2:$B$500,MATCH('Beneficiaries (2)'!$B20,Logs!$A$2:$A$500,0)),"")</f>
        <v>Ntombizonke</v>
      </c>
      <c r="D20" s="107" t="str">
        <f>IFERROR(INDEX(Logs!$C$2:$C$500,MATCH('Beneficiaries (2)'!$B20,Logs!$A$2:$A$500,0)),"")</f>
        <v>Mkhetshane`</v>
      </c>
      <c r="E20" s="108" t="str">
        <f>IFERROR(INDEX(Logs!$D$2:$D$500,MATCH('Beneficiaries (2)'!$B20,Logs!$A$2:$A$500,0)),"")</f>
        <v>8209131449083</v>
      </c>
      <c r="F20" s="73" t="s">
        <v>761</v>
      </c>
      <c r="G20" s="101" t="str">
        <f t="shared" si="0"/>
        <v>F</v>
      </c>
      <c r="H20" s="72" t="s">
        <v>761</v>
      </c>
      <c r="I20" s="72" t="s">
        <v>762</v>
      </c>
      <c r="J20" s="111" t="str">
        <f>IFERROR(INDEX(Logs!$E$2:$E$500,MATCH('Beneficiaries (2)'!$B20,Logs!$A$2:$A$500,0)),"")</f>
        <v>13/12/0006</v>
      </c>
      <c r="K20" s="111" t="str">
        <f>IFERROR(INDEX(Logs!$F$2:$F$500,MATCH('Beneficiaries (2)'!$B20,Logs!$A$2:$A$500,0)),"")</f>
        <v>30/09/2023</v>
      </c>
      <c r="L20" s="111">
        <f>IFERROR(INDEX(Logs!$G$2:$G$500,MATCH('Beneficiaries (2)'!$B20,Logs!$A$2:$A$500,0)),0)</f>
        <v>22</v>
      </c>
      <c r="M20" s="72">
        <v>0</v>
      </c>
      <c r="N20" s="101">
        <f t="shared" si="3"/>
        <v>22</v>
      </c>
      <c r="O20" s="102">
        <f>IFERROR(INDEX(Logs!$H$2:$H$500,MATCH('Beneficiaries (2)'!$B20,Logs!$A$2:$A$500,0)),)</f>
        <v>204.16</v>
      </c>
      <c r="P20" s="103">
        <f t="shared" si="2"/>
        <v>4491.5199999999995</v>
      </c>
      <c r="Q20" s="95"/>
    </row>
    <row r="21" spans="1:17" x14ac:dyDescent="0.2">
      <c r="A21" s="100" t="str">
        <f t="shared" si="1"/>
        <v/>
      </c>
      <c r="B21" s="72">
        <v>32</v>
      </c>
      <c r="C21" s="107" t="str">
        <f>IFERROR(INDEX(Logs!$B$2:$B$500,MATCH('Beneficiaries (2)'!$B21,Logs!$A$2:$A$500,0)),"")</f>
        <v>Dunyiswa</v>
      </c>
      <c r="D21" s="107" t="str">
        <f>IFERROR(INDEX(Logs!$C$2:$C$500,MATCH('Beneficiaries (2)'!$B21,Logs!$A$2:$A$500,0)),"")</f>
        <v>Ngxabazi</v>
      </c>
      <c r="E21" s="108" t="str">
        <f>IFERROR(INDEX(Logs!$D$2:$D$500,MATCH('Beneficiaries (2)'!$B21,Logs!$A$2:$A$500,0)),"")</f>
        <v>8302270712088</v>
      </c>
      <c r="F21" s="73" t="s">
        <v>761</v>
      </c>
      <c r="G21" s="101" t="str">
        <f t="shared" si="0"/>
        <v>F</v>
      </c>
      <c r="H21" s="72" t="s">
        <v>761</v>
      </c>
      <c r="I21" s="72" t="s">
        <v>762</v>
      </c>
      <c r="J21" s="111" t="str">
        <f>IFERROR(INDEX(Logs!$E$2:$E$500,MATCH('Beneficiaries (2)'!$B21,Logs!$A$2:$A$500,0)),"")</f>
        <v>12/02/0007</v>
      </c>
      <c r="K21" s="111" t="str">
        <f>IFERROR(INDEX(Logs!$F$2:$F$500,MATCH('Beneficiaries (2)'!$B21,Logs!$A$2:$A$500,0)),"")</f>
        <v>30/09/2023</v>
      </c>
      <c r="L21" s="111">
        <f>IFERROR(INDEX(Logs!$G$2:$G$500,MATCH('Beneficiaries (2)'!$B21,Logs!$A$2:$A$500,0)),0)</f>
        <v>17</v>
      </c>
      <c r="M21" s="72">
        <v>0</v>
      </c>
      <c r="N21" s="101">
        <f t="shared" si="3"/>
        <v>17</v>
      </c>
      <c r="O21" s="102">
        <f>IFERROR(INDEX(Logs!$H$2:$H$500,MATCH('Beneficiaries (2)'!$B21,Logs!$A$2:$A$500,0)),)</f>
        <v>204.16</v>
      </c>
      <c r="P21" s="103">
        <f t="shared" si="2"/>
        <v>3470.72</v>
      </c>
      <c r="Q21" s="95"/>
    </row>
    <row r="22" spans="1:17" x14ac:dyDescent="0.2">
      <c r="A22" s="100" t="str">
        <f t="shared" si="1"/>
        <v/>
      </c>
      <c r="B22" s="72">
        <v>33</v>
      </c>
      <c r="C22" s="109" t="str">
        <f>IFERROR(INDEX(Logs!$B$2:$B$500,MATCH('Beneficiaries (2)'!$B22,Logs!$A$2:$A$500,0)),"")</f>
        <v>Nomakhaya</v>
      </c>
      <c r="D22" s="107" t="str">
        <f>IFERROR(INDEX(Logs!$C$2:$C$500,MATCH('Beneficiaries (2)'!$B22,Logs!$A$2:$A$500,0)),"")</f>
        <v>Sinkwane</v>
      </c>
      <c r="E22" s="108" t="str">
        <f>IFERROR(INDEX(Logs!$D$2:$D$500,MATCH('Beneficiaries (2)'!$B22,Logs!$A$2:$A$500,0)),"")</f>
        <v>8306061336080</v>
      </c>
      <c r="F22" s="73" t="s">
        <v>761</v>
      </c>
      <c r="G22" s="101" t="str">
        <f t="shared" si="0"/>
        <v>F</v>
      </c>
      <c r="H22" s="72" t="s">
        <v>761</v>
      </c>
      <c r="I22" s="72" t="s">
        <v>762</v>
      </c>
      <c r="J22" s="111" t="str">
        <f>IFERROR(INDEX(Logs!$E$2:$E$500,MATCH('Beneficiaries (2)'!$B22,Logs!$A$2:$A$500,0)),"")</f>
        <v>12/02/0007</v>
      </c>
      <c r="K22" s="111" t="str">
        <f>IFERROR(INDEX(Logs!$F$2:$F$500,MATCH('Beneficiaries (2)'!$B22,Logs!$A$2:$A$500,0)),"")</f>
        <v>30/09/2023</v>
      </c>
      <c r="L22" s="111">
        <f>IFERROR(INDEX(Logs!$G$2:$G$500,MATCH('Beneficiaries (2)'!$B22,Logs!$A$2:$A$500,0)),0)</f>
        <v>17</v>
      </c>
      <c r="M22" s="72">
        <v>0</v>
      </c>
      <c r="N22" s="101">
        <f t="shared" si="3"/>
        <v>17</v>
      </c>
      <c r="O22" s="102">
        <f>IFERROR(INDEX(Logs!$H$2:$H$500,MATCH('Beneficiaries (2)'!$B22,Logs!$A$2:$A$500,0)),)</f>
        <v>204.16</v>
      </c>
      <c r="P22" s="103">
        <f t="shared" si="2"/>
        <v>3470.72</v>
      </c>
      <c r="Q22" s="95"/>
    </row>
    <row r="23" spans="1:17" x14ac:dyDescent="0.2">
      <c r="A23" s="100" t="str">
        <f t="shared" si="1"/>
        <v>INVALID ID - Check Digit</v>
      </c>
      <c r="B23" s="72">
        <v>34</v>
      </c>
      <c r="C23" s="109" t="str">
        <f>IFERROR(INDEX(Logs!$B$2:$B$500,MATCH('Beneficiaries (2)'!$B23,Logs!$A$2:$A$500,0)),"")</f>
        <v>Dywayda</v>
      </c>
      <c r="D23" s="107" t="str">
        <f>IFERROR(INDEX(Logs!$C$2:$C$500,MATCH('Beneficiaries (2)'!$B23,Logs!$A$2:$A$500,0)),"")</f>
        <v>Shumi</v>
      </c>
      <c r="E23" s="108" t="str">
        <f>IFERROR(INDEX(Logs!$D$2:$D$500,MATCH('Beneficiaries (2)'!$B23,Logs!$A$2:$A$500,0)),"")</f>
        <v>9402201606082</v>
      </c>
      <c r="F23" s="73" t="s">
        <v>761</v>
      </c>
      <c r="G23" s="101" t="str">
        <f t="shared" si="0"/>
        <v>F</v>
      </c>
      <c r="H23" s="72" t="s">
        <v>761</v>
      </c>
      <c r="I23" s="72" t="s">
        <v>762</v>
      </c>
      <c r="J23" s="111" t="str">
        <f>IFERROR(INDEX(Logs!$E$2:$E$500,MATCH('Beneficiaries (2)'!$B23,Logs!$A$2:$A$500,0)),"")</f>
        <v>12/02/0007</v>
      </c>
      <c r="K23" s="111" t="str">
        <f>IFERROR(INDEX(Logs!$F$2:$F$500,MATCH('Beneficiaries (2)'!$B23,Logs!$A$2:$A$500,0)),"")</f>
        <v>30/09/2023</v>
      </c>
      <c r="L23" s="111">
        <f>IFERROR(INDEX(Logs!$G$2:$G$500,MATCH('Beneficiaries (2)'!$B23,Logs!$A$2:$A$500,0)),0)</f>
        <v>22</v>
      </c>
      <c r="M23" s="72">
        <v>0</v>
      </c>
      <c r="N23" s="101">
        <f t="shared" si="3"/>
        <v>22</v>
      </c>
      <c r="O23" s="102">
        <f>IFERROR(INDEX(Logs!$H$2:$H$500,MATCH('Beneficiaries (2)'!$B23,Logs!$A$2:$A$500,0)),)</f>
        <v>204.16</v>
      </c>
      <c r="P23" s="103">
        <f t="shared" si="2"/>
        <v>4491.5199999999995</v>
      </c>
      <c r="Q23" s="95"/>
    </row>
    <row r="24" spans="1:17" x14ac:dyDescent="0.2">
      <c r="A24" s="100" t="str">
        <f t="shared" si="1"/>
        <v/>
      </c>
      <c r="B24" s="72">
        <v>35</v>
      </c>
      <c r="C24" s="109" t="str">
        <f>IFERROR(INDEX(Logs!$B$2:$B$500,MATCH('Beneficiaries (2)'!$B24,Logs!$A$2:$A$500,0)),"")</f>
        <v>Natasha</v>
      </c>
      <c r="D24" s="107" t="str">
        <f>IFERROR(INDEX(Logs!$C$2:$C$500,MATCH('Beneficiaries (2)'!$B24,Logs!$A$2:$A$500,0)),"")</f>
        <v>Bailey</v>
      </c>
      <c r="E24" s="108" t="str">
        <f>IFERROR(INDEX(Logs!$D$2:$D$500,MATCH('Beneficiaries (2)'!$B24,Logs!$A$2:$A$500,0)),"")</f>
        <v>8203140178080</v>
      </c>
      <c r="F24" s="73" t="s">
        <v>761</v>
      </c>
      <c r="G24" s="101" t="str">
        <f t="shared" si="0"/>
        <v>F</v>
      </c>
      <c r="H24" s="72" t="s">
        <v>761</v>
      </c>
      <c r="I24" s="72" t="s">
        <v>762</v>
      </c>
      <c r="J24" s="111" t="str">
        <f>IFERROR(INDEX(Logs!$E$2:$E$500,MATCH('Beneficiaries (2)'!$B24,Logs!$A$2:$A$500,0)),"")</f>
        <v>12/02/0007</v>
      </c>
      <c r="K24" s="111" t="str">
        <f>IFERROR(INDEX(Logs!$F$2:$F$500,MATCH('Beneficiaries (2)'!$B24,Logs!$A$2:$A$500,0)),"")</f>
        <v>30/09/2023</v>
      </c>
      <c r="L24" s="111">
        <f>IFERROR(INDEX(Logs!$G$2:$G$500,MATCH('Beneficiaries (2)'!$B24,Logs!$A$2:$A$500,0)),0)</f>
        <v>22</v>
      </c>
      <c r="M24" s="72">
        <v>0</v>
      </c>
      <c r="N24" s="101">
        <f t="shared" si="3"/>
        <v>22</v>
      </c>
      <c r="O24" s="102">
        <f>IFERROR(INDEX(Logs!$H$2:$H$500,MATCH('Beneficiaries (2)'!$B24,Logs!$A$2:$A$500,0)),)</f>
        <v>204.16</v>
      </c>
      <c r="P24" s="103">
        <f t="shared" si="2"/>
        <v>4491.5199999999995</v>
      </c>
      <c r="Q24" s="95"/>
    </row>
    <row r="25" spans="1:17" x14ac:dyDescent="0.2">
      <c r="A25" s="100" t="str">
        <f t="shared" si="1"/>
        <v/>
      </c>
      <c r="B25" s="72">
        <v>36</v>
      </c>
      <c r="C25" s="110" t="str">
        <f>IFERROR(INDEX(Logs!$B$2:$B$500,MATCH('Beneficiaries (2)'!$B25,Logs!$A$2:$A$500,0)),"")</f>
        <v>Fatima</v>
      </c>
      <c r="D25" s="107" t="str">
        <f>IFERROR(INDEX(Logs!$C$2:$C$500,MATCH('Beneficiaries (2)'!$B25,Logs!$A$2:$A$500,0)),"")</f>
        <v>Faro</v>
      </c>
      <c r="E25" s="108" t="str">
        <f>IFERROR(INDEX(Logs!$D$2:$D$500,MATCH('Beneficiaries (2)'!$B25,Logs!$A$2:$A$500,0)),"")</f>
        <v>9312160820080</v>
      </c>
      <c r="F25" s="73" t="s">
        <v>761</v>
      </c>
      <c r="G25" s="101" t="str">
        <f t="shared" si="0"/>
        <v>F</v>
      </c>
      <c r="H25" s="72" t="s">
        <v>761</v>
      </c>
      <c r="I25" s="72" t="s">
        <v>762</v>
      </c>
      <c r="J25" s="111" t="str">
        <f>IFERROR(INDEX(Logs!$E$2:$E$500,MATCH('Beneficiaries (2)'!$B25,Logs!$A$2:$A$500,0)),"")</f>
        <v>12/02/0007</v>
      </c>
      <c r="K25" s="111" t="str">
        <f>IFERROR(INDEX(Logs!$F$2:$F$500,MATCH('Beneficiaries (2)'!$B25,Logs!$A$2:$A$500,0)),"")</f>
        <v>30/09/2023</v>
      </c>
      <c r="L25" s="111">
        <f>IFERROR(INDEX(Logs!$G$2:$G$500,MATCH('Beneficiaries (2)'!$B25,Logs!$A$2:$A$500,0)),0)</f>
        <v>17</v>
      </c>
      <c r="M25" s="72">
        <v>0</v>
      </c>
      <c r="N25" s="101">
        <f t="shared" si="3"/>
        <v>17</v>
      </c>
      <c r="O25" s="102">
        <f>IFERROR(INDEX(Logs!$H$2:$H$500,MATCH('Beneficiaries (2)'!$B25,Logs!$A$2:$A$500,0)),)</f>
        <v>204.16</v>
      </c>
      <c r="P25" s="103">
        <f t="shared" si="2"/>
        <v>3470.72</v>
      </c>
      <c r="Q25" s="95"/>
    </row>
    <row r="26" spans="1:17" x14ac:dyDescent="0.2">
      <c r="A26" s="100" t="str">
        <f t="shared" si="1"/>
        <v/>
      </c>
      <c r="B26" s="72">
        <v>37</v>
      </c>
      <c r="C26" s="110" t="str">
        <f>IFERROR(INDEX(Logs!$B$2:$B$500,MATCH('Beneficiaries (2)'!$B26,Logs!$A$2:$A$500,0)),"")</f>
        <v>Pontso</v>
      </c>
      <c r="D26" s="107" t="str">
        <f>IFERROR(INDEX(Logs!$C$2:$C$500,MATCH('Beneficiaries (2)'!$B26,Logs!$A$2:$A$500,0)),"")</f>
        <v>Sefako</v>
      </c>
      <c r="E26" s="108" t="str">
        <f>IFERROR(INDEX(Logs!$D$2:$D$500,MATCH('Beneficiaries (2)'!$B26,Logs!$A$2:$A$500,0)),"")</f>
        <v>8307251069085</v>
      </c>
      <c r="F26" s="73" t="s">
        <v>761</v>
      </c>
      <c r="G26" s="101" t="str">
        <f t="shared" si="0"/>
        <v>F</v>
      </c>
      <c r="H26" s="72" t="s">
        <v>761</v>
      </c>
      <c r="I26" s="72" t="s">
        <v>762</v>
      </c>
      <c r="J26" s="111" t="str">
        <f>IFERROR(INDEX(Logs!$E$2:$E$500,MATCH('Beneficiaries (2)'!$B26,Logs!$A$2:$A$500,0)),"")</f>
        <v>12/02/0007</v>
      </c>
      <c r="K26" s="111" t="str">
        <f>IFERROR(INDEX(Logs!$F$2:$F$500,MATCH('Beneficiaries (2)'!$B26,Logs!$A$2:$A$500,0)),"")</f>
        <v>30/09/2023</v>
      </c>
      <c r="L26" s="111">
        <f>IFERROR(INDEX(Logs!$G$2:$G$500,MATCH('Beneficiaries (2)'!$B26,Logs!$A$2:$A$500,0)),0)</f>
        <v>17</v>
      </c>
      <c r="M26" s="72">
        <v>0</v>
      </c>
      <c r="N26" s="101">
        <f t="shared" si="3"/>
        <v>17</v>
      </c>
      <c r="O26" s="102">
        <f>IFERROR(INDEX(Logs!$H$2:$H$500,MATCH('Beneficiaries (2)'!$B26,Logs!$A$2:$A$500,0)),)</f>
        <v>204.16</v>
      </c>
      <c r="P26" s="103">
        <f t="shared" si="2"/>
        <v>3470.72</v>
      </c>
      <c r="Q26" s="95"/>
    </row>
    <row r="27" spans="1:17" x14ac:dyDescent="0.2">
      <c r="A27" s="100" t="str">
        <f t="shared" si="1"/>
        <v/>
      </c>
      <c r="B27" s="72">
        <v>38</v>
      </c>
      <c r="C27" s="110" t="str">
        <f>IFERROR(INDEX(Logs!$B$2:$B$500,MATCH('Beneficiaries (2)'!$B27,Logs!$A$2:$A$500,0)),"")</f>
        <v>Jasmine</v>
      </c>
      <c r="D27" s="107" t="str">
        <f>IFERROR(INDEX(Logs!$C$2:$C$500,MATCH('Beneficiaries (2)'!$B27,Logs!$A$2:$A$500,0)),"")</f>
        <v>Andries</v>
      </c>
      <c r="E27" s="108" t="str">
        <f>IFERROR(INDEX(Logs!$D$2:$D$500,MATCH('Beneficiaries (2)'!$B27,Logs!$A$2:$A$500,0)),"")</f>
        <v>9301220393089</v>
      </c>
      <c r="F27" s="73" t="s">
        <v>761</v>
      </c>
      <c r="G27" s="101" t="str">
        <f t="shared" si="0"/>
        <v>F</v>
      </c>
      <c r="H27" s="72" t="s">
        <v>761</v>
      </c>
      <c r="I27" s="72" t="s">
        <v>762</v>
      </c>
      <c r="J27" s="111" t="str">
        <f>IFERROR(INDEX(Logs!$E$2:$E$500,MATCH('Beneficiaries (2)'!$B27,Logs!$A$2:$A$500,0)),"")</f>
        <v>12/02/0007</v>
      </c>
      <c r="K27" s="111" t="str">
        <f>IFERROR(INDEX(Logs!$F$2:$F$500,MATCH('Beneficiaries (2)'!$B27,Logs!$A$2:$A$500,0)),"")</f>
        <v>30/09/2023</v>
      </c>
      <c r="L27" s="111">
        <f>IFERROR(INDEX(Logs!$G$2:$G$500,MATCH('Beneficiaries (2)'!$B27,Logs!$A$2:$A$500,0)),0)</f>
        <v>17</v>
      </c>
      <c r="M27" s="72">
        <v>0</v>
      </c>
      <c r="N27" s="101">
        <f t="shared" si="3"/>
        <v>17</v>
      </c>
      <c r="O27" s="102">
        <f>IFERROR(INDEX(Logs!$H$2:$H$500,MATCH('Beneficiaries (2)'!$B27,Logs!$A$2:$A$500,0)),)</f>
        <v>204.16</v>
      </c>
      <c r="P27" s="103">
        <f t="shared" si="2"/>
        <v>3470.72</v>
      </c>
      <c r="Q27" s="95"/>
    </row>
    <row r="28" spans="1:17" x14ac:dyDescent="0.2">
      <c r="A28" s="100" t="str">
        <f t="shared" si="1"/>
        <v/>
      </c>
      <c r="B28" s="72">
        <v>39</v>
      </c>
      <c r="C28" s="110" t="str">
        <f>IFERROR(INDEX(Logs!$B$2:$B$500,MATCH('Beneficiaries (2)'!$B28,Logs!$A$2:$A$500,0)),"")</f>
        <v>Nolusindiso</v>
      </c>
      <c r="D28" s="107" t="str">
        <f>IFERROR(INDEX(Logs!$C$2:$C$500,MATCH('Beneficiaries (2)'!$B28,Logs!$A$2:$A$500,0)),"")</f>
        <v>Sidungulu</v>
      </c>
      <c r="E28" s="108" t="str">
        <f>IFERROR(INDEX(Logs!$D$2:$D$500,MATCH('Beneficiaries (2)'!$B28,Logs!$A$2:$A$500,0)),"")</f>
        <v>8910090785082</v>
      </c>
      <c r="F28" s="73" t="s">
        <v>761</v>
      </c>
      <c r="G28" s="101" t="str">
        <f t="shared" si="0"/>
        <v>F</v>
      </c>
      <c r="H28" s="72" t="s">
        <v>761</v>
      </c>
      <c r="I28" s="72" t="s">
        <v>762</v>
      </c>
      <c r="J28" s="111" t="str">
        <f>IFERROR(INDEX(Logs!$E$2:$E$500,MATCH('Beneficiaries (2)'!$B28,Logs!$A$2:$A$500,0)),"")</f>
        <v>12/02/0007</v>
      </c>
      <c r="K28" s="111" t="str">
        <f>IFERROR(INDEX(Logs!$F$2:$F$500,MATCH('Beneficiaries (2)'!$B28,Logs!$A$2:$A$500,0)),"")</f>
        <v>30/09/2023</v>
      </c>
      <c r="L28" s="111">
        <f>IFERROR(INDEX(Logs!$G$2:$G$500,MATCH('Beneficiaries (2)'!$B28,Logs!$A$2:$A$500,0)),0)</f>
        <v>26</v>
      </c>
      <c r="M28" s="72">
        <v>0</v>
      </c>
      <c r="N28" s="101">
        <f t="shared" si="3"/>
        <v>26</v>
      </c>
      <c r="O28" s="102">
        <f>IFERROR(INDEX(Logs!$H$2:$H$500,MATCH('Beneficiaries (2)'!$B28,Logs!$A$2:$A$500,0)),)</f>
        <v>204.16</v>
      </c>
      <c r="P28" s="103">
        <f t="shared" si="2"/>
        <v>5308.16</v>
      </c>
      <c r="Q28" s="95"/>
    </row>
    <row r="29" spans="1:17" x14ac:dyDescent="0.2">
      <c r="A29" s="100" t="str">
        <f t="shared" si="1"/>
        <v/>
      </c>
      <c r="B29" s="72">
        <v>40</v>
      </c>
      <c r="C29" s="110" t="str">
        <f>IFERROR(INDEX(Logs!$B$2:$B$500,MATCH('Beneficiaries (2)'!$B29,Logs!$A$2:$A$500,0)),"")</f>
        <v>Nomthandazo</v>
      </c>
      <c r="D29" s="110" t="str">
        <f>IFERROR(INDEX(Logs!$C$2:$C$500,MATCH('Beneficiaries (2)'!$B29,Logs!$A$2:$A$500,0)),"")</f>
        <v>Keswa</v>
      </c>
      <c r="E29" s="108" t="str">
        <f>IFERROR(INDEX(Logs!$D$2:$D$500,MATCH('Beneficiaries (2)'!$B29,Logs!$A$2:$A$500,0)),"")</f>
        <v>7906190979089</v>
      </c>
      <c r="F29" s="73" t="s">
        <v>761</v>
      </c>
      <c r="G29" s="101" t="str">
        <f t="shared" si="0"/>
        <v>F</v>
      </c>
      <c r="H29" s="72" t="s">
        <v>761</v>
      </c>
      <c r="I29" s="72" t="s">
        <v>762</v>
      </c>
      <c r="J29" s="111" t="str">
        <f>IFERROR(INDEX(Logs!$E$2:$E$500,MATCH('Beneficiaries (2)'!$B29,Logs!$A$2:$A$500,0)),"")</f>
        <v>01/09/2022</v>
      </c>
      <c r="K29" s="111" t="str">
        <f>IFERROR(INDEX(Logs!$F$2:$F$500,MATCH('Beneficiaries (2)'!$B29,Logs!$A$2:$A$500,0)),"")</f>
        <v>15/03/0036</v>
      </c>
      <c r="L29" s="111">
        <f>IFERROR(INDEX(Logs!$G$2:$G$500,MATCH('Beneficiaries (2)'!$B29,Logs!$A$2:$A$500,0)),0)</f>
        <v>17</v>
      </c>
      <c r="M29" s="72">
        <v>0</v>
      </c>
      <c r="N29" s="101">
        <f t="shared" si="3"/>
        <v>17</v>
      </c>
      <c r="O29" s="102">
        <f>IFERROR(INDEX(Logs!$H$2:$H$500,MATCH('Beneficiaries (2)'!$B29,Logs!$A$2:$A$500,0)),)</f>
        <v>204.16</v>
      </c>
      <c r="P29" s="103">
        <f t="shared" si="2"/>
        <v>3470.72</v>
      </c>
      <c r="Q29" s="95"/>
    </row>
    <row r="30" spans="1:17" x14ac:dyDescent="0.2"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104">
        <f>SUM(L10:L29)</f>
        <v>420</v>
      </c>
      <c r="M30" s="104">
        <f>SUM(M10:M29)</f>
        <v>0</v>
      </c>
      <c r="N30" s="104">
        <f>SUM(N10:N29)</f>
        <v>420</v>
      </c>
      <c r="O30" s="105">
        <f>SUM(O10:O29)</f>
        <v>4097.119999999999</v>
      </c>
      <c r="P30" s="106">
        <f>SUM(P10:P29)</f>
        <v>85983.840000000011</v>
      </c>
      <c r="Q30" s="97"/>
    </row>
    <row r="31" spans="1:17" ht="27" customHeight="1" x14ac:dyDescent="0.2">
      <c r="B31" s="217" t="s">
        <v>98</v>
      </c>
      <c r="C31" s="217"/>
      <c r="D31" s="98" t="s">
        <v>97</v>
      </c>
      <c r="E31" s="218" t="str">
        <f>Project!$G$30</f>
        <v>Benjamin Milandou-Loubeka</v>
      </c>
      <c r="F31" s="218"/>
      <c r="G31" s="218"/>
      <c r="H31" s="219" t="s">
        <v>101</v>
      </c>
      <c r="I31" s="220"/>
      <c r="J31" s="220"/>
      <c r="K31" s="220"/>
      <c r="L31" s="220"/>
      <c r="M31" s="220"/>
      <c r="N31" s="220"/>
      <c r="O31" s="220"/>
      <c r="P31" s="220"/>
      <c r="Q31" s="87"/>
    </row>
    <row r="32" spans="1:17" ht="27" customHeight="1" x14ac:dyDescent="0.2">
      <c r="B32" s="217"/>
      <c r="C32" s="217"/>
      <c r="D32" s="98" t="s">
        <v>100</v>
      </c>
      <c r="E32" s="221">
        <f>Project!$AN$1</f>
        <v>45199</v>
      </c>
      <c r="F32" s="221"/>
      <c r="G32" s="221"/>
      <c r="H32" s="219"/>
      <c r="I32" s="220"/>
      <c r="J32" s="220"/>
      <c r="K32" s="220"/>
      <c r="L32" s="220"/>
      <c r="M32" s="220"/>
      <c r="N32" s="220"/>
      <c r="O32" s="220"/>
      <c r="P32" s="220"/>
      <c r="Q32" s="87"/>
    </row>
    <row r="33" spans="2:17" ht="14.25" customHeight="1" x14ac:dyDescent="0.2">
      <c r="B33" s="88"/>
      <c r="C33" s="88"/>
      <c r="D33" s="99"/>
      <c r="E33" s="87"/>
      <c r="F33" s="87"/>
      <c r="G33" s="87"/>
      <c r="H33" s="81"/>
      <c r="I33" s="87"/>
      <c r="J33" s="87"/>
      <c r="K33" s="87"/>
      <c r="L33" s="87"/>
      <c r="M33" s="87"/>
      <c r="N33" s="87"/>
      <c r="O33" s="87"/>
      <c r="P33" s="87"/>
      <c r="Q33" s="87"/>
    </row>
    <row r="34" spans="2:17" ht="27" customHeight="1" x14ac:dyDescent="0.2">
      <c r="B34" s="217" t="s">
        <v>99</v>
      </c>
      <c r="C34" s="217"/>
      <c r="D34" s="98" t="s">
        <v>97</v>
      </c>
      <c r="E34" s="220"/>
      <c r="F34" s="220"/>
      <c r="G34" s="220"/>
      <c r="H34" s="219" t="s">
        <v>101</v>
      </c>
      <c r="I34" s="220"/>
      <c r="J34" s="220"/>
      <c r="K34" s="220"/>
      <c r="L34" s="220"/>
      <c r="M34" s="220"/>
      <c r="N34" s="220"/>
      <c r="O34" s="220"/>
      <c r="P34" s="220"/>
      <c r="Q34" s="87"/>
    </row>
    <row r="35" spans="2:17" ht="27" customHeight="1" x14ac:dyDescent="0.2">
      <c r="B35" s="217"/>
      <c r="C35" s="217"/>
      <c r="D35" s="98" t="s">
        <v>100</v>
      </c>
      <c r="E35" s="220"/>
      <c r="F35" s="220"/>
      <c r="G35" s="220"/>
      <c r="H35" s="219"/>
      <c r="I35" s="220"/>
      <c r="J35" s="220"/>
      <c r="K35" s="220"/>
      <c r="L35" s="220"/>
      <c r="M35" s="220"/>
      <c r="N35" s="220"/>
      <c r="O35" s="220"/>
      <c r="P35" s="220"/>
      <c r="Q35" s="87"/>
    </row>
    <row r="74" spans="2:2" x14ac:dyDescent="0.2">
      <c r="B74" s="87"/>
    </row>
  </sheetData>
  <sheetProtection algorithmName="SHA-512" hashValue="6YdQr78RzFvs2Kbgu8YelyO1Vm38bRj8Tx5HRvxAImkElFF9HIUaRonA0PZLsfj2yiq5r3pghBcdHQVWpcFQYw==" saltValue="r4zU2jJGtWISq/3hRN1fEw==" spinCount="100000" sheet="1" selectLockedCells="1"/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conditionalFormatting sqref="C10:C21">
    <cfRule type="uniqueValues" dxfId="125" priority="9"/>
  </conditionalFormatting>
  <conditionalFormatting sqref="D10:D20">
    <cfRule type="uniqueValues" dxfId="124" priority="8"/>
  </conditionalFormatting>
  <conditionalFormatting sqref="D21:D28">
    <cfRule type="uniqueValues" dxfId="123" priority="7"/>
  </conditionalFormatting>
  <conditionalFormatting sqref="F10:F29">
    <cfRule type="expression" dxfId="122" priority="6">
      <formula>$C10=""</formula>
    </cfRule>
  </conditionalFormatting>
  <conditionalFormatting sqref="H10:I29">
    <cfRule type="expression" dxfId="121" priority="5">
      <formula>$C10=""</formula>
    </cfRule>
  </conditionalFormatting>
  <conditionalFormatting sqref="B10:B29">
    <cfRule type="expression" dxfId="120" priority="4">
      <formula>$C10=""</formula>
    </cfRule>
  </conditionalFormatting>
  <conditionalFormatting sqref="L10:L29">
    <cfRule type="cellIs" dxfId="119" priority="3" operator="equal">
      <formula>0</formula>
    </cfRule>
  </conditionalFormatting>
  <conditionalFormatting sqref="M10:N29">
    <cfRule type="expression" dxfId="118" priority="2">
      <formula>$C10=""</formula>
    </cfRule>
  </conditionalFormatting>
  <conditionalFormatting sqref="O10:P29">
    <cfRule type="expression" dxfId="117" priority="1">
      <formula>$C10=""</formula>
    </cfRule>
  </conditionalFormatting>
  <dataValidations count="1">
    <dataValidation allowBlank="1" showInputMessage="1" showErrorMessage="1" promptTitle="Month" sqref="I6" xr:uid="{24D00D65-41B0-4374-A040-BF7351428C58}"/>
  </dataValidations>
  <pageMargins left="0.23622047244094491" right="0.23622047244094491" top="0.74803149606299213" bottom="0.74803149606299213" header="0.31496062992125984" footer="0.31496062992125984"/>
  <pageSetup paperSize="9" scale="86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688E9-0A07-45EF-8236-36615B06AB97}">
  <sheetPr codeName="Sheet17">
    <pageSetUpPr fitToPage="1"/>
  </sheetPr>
  <dimension ref="A1:R74"/>
  <sheetViews>
    <sheetView showGridLines="0" zoomScaleNormal="100" workbookViewId="0">
      <selection activeCell="B5" sqref="B5:C6"/>
    </sheetView>
  </sheetViews>
  <sheetFormatPr defaultColWidth="8.85546875" defaultRowHeight="12.75" x14ac:dyDescent="0.2"/>
  <cols>
    <col min="1" max="1" width="20.7109375" style="76" customWidth="1"/>
    <col min="2" max="2" width="4.42578125" style="80" customWidth="1"/>
    <col min="3" max="5" width="24.42578125" style="80" customWidth="1"/>
    <col min="6" max="6" width="10.140625" style="80" customWidth="1"/>
    <col min="7" max="9" width="8.85546875" style="80"/>
    <col min="10" max="11" width="10.140625" style="80" bestFit="1" customWidth="1"/>
    <col min="12" max="15" width="13.7109375" style="80" customWidth="1"/>
    <col min="16" max="17" width="14.5703125" style="80" customWidth="1"/>
    <col min="18" max="18" width="8.85546875" style="150"/>
    <col min="19" max="16384" width="8.85546875" style="80"/>
  </cols>
  <sheetData>
    <row r="1" spans="1:18" ht="15.75" x14ac:dyDescent="0.25">
      <c r="B1" s="77" t="s">
        <v>44</v>
      </c>
      <c r="C1" s="78"/>
      <c r="D1" s="78"/>
      <c r="E1" s="79" t="s">
        <v>1</v>
      </c>
      <c r="G1" s="78"/>
      <c r="H1" s="78"/>
      <c r="I1" s="78"/>
      <c r="R1" s="114">
        <f>IF(Beneficiaries!$P$30&gt;0,1,"")</f>
        <v>1</v>
      </c>
    </row>
    <row r="2" spans="1:18" ht="15.75" x14ac:dyDescent="0.25"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114">
        <f>IF('Beneficiaries (2)'!$P$30&gt;0,1,"")</f>
        <v>1</v>
      </c>
    </row>
    <row r="3" spans="1:18" x14ac:dyDescent="0.2">
      <c r="B3" s="210" t="s">
        <v>28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81"/>
      <c r="R3" s="114">
        <f>IF('Beneficiaries (3)'!$P$30&gt;0,1,"")</f>
        <v>1</v>
      </c>
    </row>
    <row r="4" spans="1:18" x14ac:dyDescent="0.2">
      <c r="C4" s="77"/>
      <c r="D4" s="77"/>
      <c r="E4" s="77"/>
      <c r="F4" s="77"/>
      <c r="G4" s="77"/>
      <c r="R4" s="114">
        <f>IF('Beneficiaries (4)'!$P$30&gt;0,1,"")</f>
        <v>1</v>
      </c>
    </row>
    <row r="5" spans="1:18" ht="12.75" customHeight="1" x14ac:dyDescent="0.2">
      <c r="B5" s="211" t="s">
        <v>12</v>
      </c>
      <c r="C5" s="212"/>
      <c r="D5" s="215" t="str">
        <f>Project!$Z$25</f>
        <v>WSDS/24/111i</v>
      </c>
      <c r="E5" s="215"/>
      <c r="F5" s="82"/>
      <c r="H5" s="83" t="s">
        <v>80</v>
      </c>
      <c r="I5" s="83" t="s">
        <v>81</v>
      </c>
      <c r="J5" s="77"/>
      <c r="K5" s="216" t="s">
        <v>78</v>
      </c>
      <c r="L5" s="216"/>
      <c r="M5" s="216"/>
      <c r="N5" s="85"/>
      <c r="O5" s="85"/>
      <c r="P5" s="77"/>
      <c r="Q5" s="77"/>
      <c r="R5" s="114">
        <f>IF('Beneficiaries (5)'!$P$30&gt;0,1,"")</f>
        <v>1</v>
      </c>
    </row>
    <row r="6" spans="1:18" x14ac:dyDescent="0.2">
      <c r="B6" s="213"/>
      <c r="C6" s="214"/>
      <c r="D6" s="215"/>
      <c r="E6" s="215"/>
      <c r="F6" s="82"/>
      <c r="H6" s="112" t="str">
        <f>TEXT(Project!$AN$1,"YYYY")</f>
        <v>2023</v>
      </c>
      <c r="I6" s="112" t="str">
        <f>TEXT(Project!$AN$1,"MMMM")</f>
        <v>September</v>
      </c>
      <c r="J6" s="86"/>
      <c r="K6" s="57">
        <v>1</v>
      </c>
      <c r="L6" s="84" t="s">
        <v>79</v>
      </c>
      <c r="M6" s="113">
        <f>IF(K6&gt;0,COUNT(R1:R20),"")</f>
        <v>14</v>
      </c>
      <c r="N6" s="85"/>
      <c r="O6" s="85"/>
      <c r="P6" s="87"/>
      <c r="Q6" s="87"/>
      <c r="R6" s="114">
        <f>IF('Beneficiaries (6)'!$P$30&gt;0,1,"")</f>
        <v>1</v>
      </c>
    </row>
    <row r="7" spans="1:18" x14ac:dyDescent="0.2">
      <c r="B7" s="88"/>
      <c r="C7" s="88"/>
      <c r="D7" s="88"/>
      <c r="E7" s="87"/>
      <c r="F7" s="87"/>
      <c r="H7" s="86"/>
      <c r="I7" s="86"/>
      <c r="J7" s="86"/>
      <c r="K7" s="87"/>
      <c r="L7" s="85"/>
      <c r="M7" s="85"/>
      <c r="N7" s="85"/>
      <c r="O7" s="85"/>
      <c r="P7" s="87"/>
      <c r="Q7" s="87"/>
      <c r="R7" s="114">
        <f>IF('Beneficiaries (7)'!$P$30&gt;0,1,"")</f>
        <v>1</v>
      </c>
    </row>
    <row r="8" spans="1:18" x14ac:dyDescent="0.2">
      <c r="B8" s="89"/>
      <c r="C8" s="90" t="s">
        <v>34</v>
      </c>
      <c r="D8" s="90" t="s">
        <v>34</v>
      </c>
      <c r="E8" s="90" t="s">
        <v>34</v>
      </c>
      <c r="F8" s="90" t="s">
        <v>35</v>
      </c>
      <c r="G8" s="89"/>
      <c r="H8" s="89"/>
      <c r="I8" s="90" t="s">
        <v>36</v>
      </c>
      <c r="J8" s="89"/>
      <c r="K8" s="90" t="s">
        <v>37</v>
      </c>
      <c r="L8" s="90" t="s">
        <v>38</v>
      </c>
      <c r="M8" s="90" t="s">
        <v>42</v>
      </c>
      <c r="N8" s="90"/>
      <c r="O8" s="90" t="s">
        <v>104</v>
      </c>
      <c r="P8" s="90"/>
      <c r="Q8" s="91"/>
      <c r="R8" s="114">
        <f>IF('Beneficiaries (8)'!$P$30&gt;0,1,"")</f>
        <v>1</v>
      </c>
    </row>
    <row r="9" spans="1:18" ht="45" x14ac:dyDescent="0.2">
      <c r="B9" s="92" t="s">
        <v>29</v>
      </c>
      <c r="C9" s="92" t="s">
        <v>30</v>
      </c>
      <c r="D9" s="92" t="s">
        <v>31</v>
      </c>
      <c r="E9" s="92" t="s">
        <v>32</v>
      </c>
      <c r="F9" s="93" t="s">
        <v>96</v>
      </c>
      <c r="G9" s="93" t="s">
        <v>33</v>
      </c>
      <c r="H9" s="93" t="s">
        <v>76</v>
      </c>
      <c r="I9" s="93" t="s">
        <v>77</v>
      </c>
      <c r="J9" s="93" t="s">
        <v>95</v>
      </c>
      <c r="K9" s="93" t="s">
        <v>94</v>
      </c>
      <c r="L9" s="93" t="s">
        <v>41</v>
      </c>
      <c r="M9" s="93" t="s">
        <v>103</v>
      </c>
      <c r="N9" s="93" t="s">
        <v>116</v>
      </c>
      <c r="O9" s="93" t="s">
        <v>102</v>
      </c>
      <c r="P9" s="93" t="s">
        <v>117</v>
      </c>
      <c r="Q9" s="94"/>
      <c r="R9" s="114">
        <f>IF('Beneficiaries (9)'!$P$30&gt;0,1,"")</f>
        <v>1</v>
      </c>
    </row>
    <row r="10" spans="1:18" x14ac:dyDescent="0.2">
      <c r="A10" s="100" t="str">
        <f>ID_Valid(E10)</f>
        <v/>
      </c>
      <c r="B10" s="72">
        <v>41</v>
      </c>
      <c r="C10" s="107" t="str">
        <f>IFERROR(INDEX(Logs!$B$2:$B$500,MATCH('Beneficiaries (3)'!$B10,Logs!$A$2:$A$500,0)),"")</f>
        <v>Kholeka</v>
      </c>
      <c r="D10" s="107" t="str">
        <f>IFERROR(INDEX(Logs!$C$2:$C$500,MATCH('Beneficiaries (3)'!$B10,Logs!$A$2:$A$500,0)),"")</f>
        <v>Alam</v>
      </c>
      <c r="E10" s="108" t="str">
        <f>IFERROR(INDEX(Logs!$D$2:$D$500,MATCH('Beneficiaries (3)'!$B10,Logs!$A$2:$A$500,0)),"")</f>
        <v>7910151264085</v>
      </c>
      <c r="F10" s="73" t="s">
        <v>761</v>
      </c>
      <c r="G10" s="101" t="str">
        <f t="shared" ref="G10:G29" si="0">TheGender(E10)</f>
        <v>F</v>
      </c>
      <c r="H10" s="72" t="s">
        <v>761</v>
      </c>
      <c r="I10" s="74" t="s">
        <v>762</v>
      </c>
      <c r="J10" s="110" t="str">
        <f>IFERROR(INDEX(Logs!$E$2:$E$500,MATCH('Beneficiaries (3)'!$B10,Logs!$A$2:$A$500,0)),"")</f>
        <v>01/09/2022</v>
      </c>
      <c r="K10" s="110" t="str">
        <f>IFERROR(INDEX(Logs!$F$2:$F$500,MATCH('Beneficiaries (3)'!$B10,Logs!$A$2:$A$500,0)),"")</f>
        <v>15/03/0036</v>
      </c>
      <c r="L10" s="111">
        <f>IFERROR(INDEX(Logs!$G$2:$G$500,MATCH('Beneficiaries (3)'!$B10,Logs!$A$2:$A$500,0)),0)</f>
        <v>17</v>
      </c>
      <c r="M10" s="72">
        <v>0</v>
      </c>
      <c r="N10" s="101">
        <f>M10+L10</f>
        <v>17</v>
      </c>
      <c r="O10" s="102">
        <f>IFERROR(INDEX(Logs!$H$2:$H$500,MATCH('Beneficiaries (3)'!$B10,Logs!$A$2:$A$500,0)),)</f>
        <v>204.16</v>
      </c>
      <c r="P10" s="103">
        <f>IFERROR(N10*O10,0)</f>
        <v>3470.72</v>
      </c>
      <c r="Q10" s="95"/>
      <c r="R10" s="114">
        <f>IF('Beneficiaries (10)'!$P$30&gt;0,1,"")</f>
        <v>1</v>
      </c>
    </row>
    <row r="11" spans="1:18" x14ac:dyDescent="0.2">
      <c r="A11" s="100" t="str">
        <f t="shared" ref="A11:A29" si="1">ID_Valid(E11)</f>
        <v/>
      </c>
      <c r="B11" s="72">
        <v>42</v>
      </c>
      <c r="C11" s="107" t="str">
        <f>IFERROR(INDEX(Logs!$B$2:$B$500,MATCH('Beneficiaries (3)'!$B11,Logs!$A$2:$A$500,0)),"")</f>
        <v>Zintombi</v>
      </c>
      <c r="D11" s="107" t="str">
        <f>IFERROR(INDEX(Logs!$C$2:$C$500,MATCH('Beneficiaries (3)'!$B11,Logs!$A$2:$A$500,0)),"")</f>
        <v>Gantsho</v>
      </c>
      <c r="E11" s="108" t="str">
        <f>IFERROR(INDEX(Logs!$D$2:$D$500,MATCH('Beneficiaries (3)'!$B11,Logs!$A$2:$A$500,0)),"")</f>
        <v>8310291009087</v>
      </c>
      <c r="F11" s="73" t="s">
        <v>761</v>
      </c>
      <c r="G11" s="101" t="str">
        <f t="shared" si="0"/>
        <v>F</v>
      </c>
      <c r="H11" s="72" t="s">
        <v>761</v>
      </c>
      <c r="I11" s="72" t="s">
        <v>762</v>
      </c>
      <c r="J11" s="111" t="str">
        <f>IFERROR(INDEX(Logs!$E$2:$E$500,MATCH('Beneficiaries (3)'!$B11,Logs!$A$2:$A$500,0)),"")</f>
        <v>01/09/2022</v>
      </c>
      <c r="K11" s="111" t="str">
        <f>IFERROR(INDEX(Logs!$F$2:$F$500,MATCH('Beneficiaries (3)'!$B11,Logs!$A$2:$A$500,0)),"")</f>
        <v>15/03/0036</v>
      </c>
      <c r="L11" s="111">
        <f>IFERROR(INDEX(Logs!$G$2:$G$500,MATCH('Beneficiaries (3)'!$B11,Logs!$A$2:$A$500,0)),0)</f>
        <v>17</v>
      </c>
      <c r="M11" s="72">
        <v>0</v>
      </c>
      <c r="N11" s="101">
        <f>L11+M11</f>
        <v>17</v>
      </c>
      <c r="O11" s="102">
        <f>IFERROR(INDEX(Logs!$H$2:$H$500,MATCH('Beneficiaries (3)'!$B11,Logs!$A$2:$A$500,0)),)</f>
        <v>218.08</v>
      </c>
      <c r="P11" s="103">
        <f t="shared" ref="P11:P29" si="2">IFERROR(N11*O11,0)</f>
        <v>3707.36</v>
      </c>
      <c r="Q11" s="95"/>
      <c r="R11" s="114">
        <f>IF('Beneficiaries (11)'!$P$30&gt;0,1,"")</f>
        <v>1</v>
      </c>
    </row>
    <row r="12" spans="1:18" x14ac:dyDescent="0.2">
      <c r="A12" s="100" t="str">
        <f t="shared" si="1"/>
        <v/>
      </c>
      <c r="B12" s="72">
        <v>43</v>
      </c>
      <c r="C12" s="107" t="str">
        <f>IFERROR(INDEX(Logs!$B$2:$B$500,MATCH('Beneficiaries (3)'!$B12,Logs!$A$2:$A$500,0)),"")</f>
        <v>Thembisa</v>
      </c>
      <c r="D12" s="107" t="str">
        <f>IFERROR(INDEX(Logs!$C$2:$C$500,MATCH('Beneficiaries (3)'!$B12,Logs!$A$2:$A$500,0)),"")</f>
        <v>Kondile</v>
      </c>
      <c r="E12" s="108" t="str">
        <f>IFERROR(INDEX(Logs!$D$2:$D$500,MATCH('Beneficiaries (3)'!$B12,Logs!$A$2:$A$500,0)),"")</f>
        <v>7106101079083</v>
      </c>
      <c r="F12" s="73" t="s">
        <v>761</v>
      </c>
      <c r="G12" s="101" t="str">
        <f t="shared" si="0"/>
        <v>F</v>
      </c>
      <c r="H12" s="72" t="s">
        <v>761</v>
      </c>
      <c r="I12" s="72" t="s">
        <v>762</v>
      </c>
      <c r="J12" s="111" t="str">
        <f>IFERROR(INDEX(Logs!$E$2:$E$500,MATCH('Beneficiaries (3)'!$B12,Logs!$A$2:$A$500,0)),"")</f>
        <v>01/09/2022</v>
      </c>
      <c r="K12" s="111" t="str">
        <f>IFERROR(INDEX(Logs!$F$2:$F$500,MATCH('Beneficiaries (3)'!$B12,Logs!$A$2:$A$500,0)),"")</f>
        <v>15/03/0036</v>
      </c>
      <c r="L12" s="111">
        <f>IFERROR(INDEX(Logs!$G$2:$G$500,MATCH('Beneficiaries (3)'!$B12,Logs!$A$2:$A$500,0)),0)</f>
        <v>17</v>
      </c>
      <c r="M12" s="72">
        <v>0</v>
      </c>
      <c r="N12" s="101">
        <f t="shared" ref="N12:N29" si="3">L12+M12</f>
        <v>17</v>
      </c>
      <c r="O12" s="102">
        <f>IFERROR(INDEX(Logs!$H$2:$H$500,MATCH('Beneficiaries (3)'!$B12,Logs!$A$2:$A$500,0)),)</f>
        <v>204.16</v>
      </c>
      <c r="P12" s="103">
        <f t="shared" si="2"/>
        <v>3470.72</v>
      </c>
      <c r="Q12" s="95"/>
      <c r="R12" s="114">
        <f>IF('Beneficiaries (12)'!$P$30&gt;0,1,"")</f>
        <v>1</v>
      </c>
    </row>
    <row r="13" spans="1:18" x14ac:dyDescent="0.2">
      <c r="A13" s="100" t="str">
        <f t="shared" si="1"/>
        <v/>
      </c>
      <c r="B13" s="72">
        <v>44</v>
      </c>
      <c r="C13" s="107" t="str">
        <f>IFERROR(INDEX(Logs!$B$2:$B$500,MATCH('Beneficiaries (3)'!$B13,Logs!$A$2:$A$500,0)),"")</f>
        <v>Nosiphelo</v>
      </c>
      <c r="D13" s="107" t="str">
        <f>IFERROR(INDEX(Logs!$C$2:$C$500,MATCH('Beneficiaries (3)'!$B13,Logs!$A$2:$A$500,0)),"")</f>
        <v>Mbonda</v>
      </c>
      <c r="E13" s="108" t="str">
        <f>IFERROR(INDEX(Logs!$D$2:$D$500,MATCH('Beneficiaries (3)'!$B13,Logs!$A$2:$A$500,0)),"")</f>
        <v>6512300267083</v>
      </c>
      <c r="F13" s="73" t="s">
        <v>761</v>
      </c>
      <c r="G13" s="101" t="str">
        <f t="shared" si="0"/>
        <v>F</v>
      </c>
      <c r="H13" s="72" t="s">
        <v>761</v>
      </c>
      <c r="I13" s="72" t="s">
        <v>762</v>
      </c>
      <c r="J13" s="111" t="str">
        <f>IFERROR(INDEX(Logs!$E$2:$E$500,MATCH('Beneficiaries (3)'!$B13,Logs!$A$2:$A$500,0)),"")</f>
        <v>01/09/2022</v>
      </c>
      <c r="K13" s="111" t="str">
        <f>IFERROR(INDEX(Logs!$F$2:$F$500,MATCH('Beneficiaries (3)'!$B13,Logs!$A$2:$A$500,0)),"")</f>
        <v>15/03/0036</v>
      </c>
      <c r="L13" s="111">
        <f>IFERROR(INDEX(Logs!$G$2:$G$500,MATCH('Beneficiaries (3)'!$B13,Logs!$A$2:$A$500,0)),0)</f>
        <v>17</v>
      </c>
      <c r="M13" s="72">
        <v>0</v>
      </c>
      <c r="N13" s="101">
        <f t="shared" si="3"/>
        <v>17</v>
      </c>
      <c r="O13" s="102">
        <f>IFERROR(INDEX(Logs!$H$2:$H$500,MATCH('Beneficiaries (3)'!$B13,Logs!$A$2:$A$500,0)),)</f>
        <v>204.16</v>
      </c>
      <c r="P13" s="103">
        <f t="shared" si="2"/>
        <v>3470.72</v>
      </c>
      <c r="Q13" s="95"/>
      <c r="R13" s="114">
        <f>IF('Beneficiaries (13)'!$P$30&gt;0,1,"")</f>
        <v>1</v>
      </c>
    </row>
    <row r="14" spans="1:18" x14ac:dyDescent="0.2">
      <c r="A14" s="100" t="str">
        <f t="shared" si="1"/>
        <v/>
      </c>
      <c r="B14" s="72">
        <v>45</v>
      </c>
      <c r="C14" s="107" t="str">
        <f>IFERROR(INDEX(Logs!$B$2:$B$500,MATCH('Beneficiaries (3)'!$B14,Logs!$A$2:$A$500,0)),"")</f>
        <v>Nontembeko</v>
      </c>
      <c r="D14" s="107" t="str">
        <f>IFERROR(INDEX(Logs!$C$2:$C$500,MATCH('Beneficiaries (3)'!$B14,Logs!$A$2:$A$500,0)),"")</f>
        <v>Kalmane</v>
      </c>
      <c r="E14" s="108" t="str">
        <f>IFERROR(INDEX(Logs!$D$2:$D$500,MATCH('Beneficiaries (3)'!$B14,Logs!$A$2:$A$500,0)),"")</f>
        <v>7708101001080</v>
      </c>
      <c r="F14" s="73" t="s">
        <v>761</v>
      </c>
      <c r="G14" s="101" t="str">
        <f t="shared" si="0"/>
        <v>F</v>
      </c>
      <c r="H14" s="72" t="s">
        <v>761</v>
      </c>
      <c r="I14" s="72" t="s">
        <v>762</v>
      </c>
      <c r="J14" s="111" t="str">
        <f>IFERROR(INDEX(Logs!$E$2:$E$500,MATCH('Beneficiaries (3)'!$B14,Logs!$A$2:$A$500,0)),"")</f>
        <v>01/09/2022</v>
      </c>
      <c r="K14" s="111" t="str">
        <f>IFERROR(INDEX(Logs!$F$2:$F$500,MATCH('Beneficiaries (3)'!$B14,Logs!$A$2:$A$500,0)),"")</f>
        <v>15/03/0036</v>
      </c>
      <c r="L14" s="111">
        <f>IFERROR(INDEX(Logs!$G$2:$G$500,MATCH('Beneficiaries (3)'!$B14,Logs!$A$2:$A$500,0)),0)</f>
        <v>17</v>
      </c>
      <c r="M14" s="72">
        <v>0</v>
      </c>
      <c r="N14" s="101">
        <f t="shared" si="3"/>
        <v>17</v>
      </c>
      <c r="O14" s="102">
        <f>IFERROR(INDEX(Logs!$H$2:$H$500,MATCH('Beneficiaries (3)'!$B14,Logs!$A$2:$A$500,0)),)</f>
        <v>204.16</v>
      </c>
      <c r="P14" s="103">
        <f t="shared" si="2"/>
        <v>3470.72</v>
      </c>
      <c r="Q14" s="95"/>
      <c r="R14" s="114">
        <f>IF('Beneficiaries (14)'!$P$30&gt;0,1,"")</f>
        <v>1</v>
      </c>
    </row>
    <row r="15" spans="1:18" x14ac:dyDescent="0.2">
      <c r="A15" s="100" t="str">
        <f t="shared" si="1"/>
        <v/>
      </c>
      <c r="B15" s="72">
        <v>46</v>
      </c>
      <c r="C15" s="107" t="str">
        <f>IFERROR(INDEX(Logs!$B$2:$B$500,MATCH('Beneficiaries (3)'!$B15,Logs!$A$2:$A$500,0)),"")</f>
        <v>Ronell</v>
      </c>
      <c r="D15" s="107" t="str">
        <f>IFERROR(INDEX(Logs!$C$2:$C$500,MATCH('Beneficiaries (3)'!$B15,Logs!$A$2:$A$500,0)),"")</f>
        <v>Dorman</v>
      </c>
      <c r="E15" s="108" t="str">
        <f>IFERROR(INDEX(Logs!$D$2:$D$500,MATCH('Beneficiaries (3)'!$B15,Logs!$A$2:$A$500,0)),"")</f>
        <v>8007070089088</v>
      </c>
      <c r="F15" s="73" t="s">
        <v>761</v>
      </c>
      <c r="G15" s="101" t="str">
        <f t="shared" si="0"/>
        <v>F</v>
      </c>
      <c r="H15" s="72" t="s">
        <v>761</v>
      </c>
      <c r="I15" s="72" t="s">
        <v>762</v>
      </c>
      <c r="J15" s="111" t="str">
        <f>IFERROR(INDEX(Logs!$E$2:$E$500,MATCH('Beneficiaries (3)'!$B15,Logs!$A$2:$A$500,0)),"")</f>
        <v>01/09/2022</v>
      </c>
      <c r="K15" s="111" t="str">
        <f>IFERROR(INDEX(Logs!$F$2:$F$500,MATCH('Beneficiaries (3)'!$B15,Logs!$A$2:$A$500,0)),"")</f>
        <v>15/03/0036</v>
      </c>
      <c r="L15" s="111">
        <f>IFERROR(INDEX(Logs!$G$2:$G$500,MATCH('Beneficiaries (3)'!$B15,Logs!$A$2:$A$500,0)),0)</f>
        <v>17</v>
      </c>
      <c r="M15" s="72">
        <v>0</v>
      </c>
      <c r="N15" s="101">
        <f t="shared" si="3"/>
        <v>17</v>
      </c>
      <c r="O15" s="102">
        <f>IFERROR(INDEX(Logs!$H$2:$H$500,MATCH('Beneficiaries (3)'!$B15,Logs!$A$2:$A$500,0)),)</f>
        <v>204.16</v>
      </c>
      <c r="P15" s="103">
        <f t="shared" si="2"/>
        <v>3470.72</v>
      </c>
      <c r="Q15" s="95"/>
      <c r="R15" s="115"/>
    </row>
    <row r="16" spans="1:18" x14ac:dyDescent="0.2">
      <c r="A16" s="100" t="str">
        <f t="shared" si="1"/>
        <v/>
      </c>
      <c r="B16" s="72">
        <v>47</v>
      </c>
      <c r="C16" s="107" t="str">
        <f>IFERROR(INDEX(Logs!$B$2:$B$500,MATCH('Beneficiaries (3)'!$B16,Logs!$A$2:$A$500,0)),"")</f>
        <v>Nontombi</v>
      </c>
      <c r="D16" s="107" t="str">
        <f>IFERROR(INDEX(Logs!$C$2:$C$500,MATCH('Beneficiaries (3)'!$B16,Logs!$A$2:$A$500,0)),"")</f>
        <v>Boyiya</v>
      </c>
      <c r="E16" s="108" t="str">
        <f>IFERROR(INDEX(Logs!$D$2:$D$500,MATCH('Beneficiaries (3)'!$B16,Logs!$A$2:$A$500,0)),"")</f>
        <v>7712290964082</v>
      </c>
      <c r="F16" s="73" t="s">
        <v>761</v>
      </c>
      <c r="G16" s="101" t="str">
        <f t="shared" si="0"/>
        <v>F</v>
      </c>
      <c r="H16" s="72" t="s">
        <v>761</v>
      </c>
      <c r="I16" s="72" t="s">
        <v>762</v>
      </c>
      <c r="J16" s="111" t="str">
        <f>IFERROR(INDEX(Logs!$E$2:$E$500,MATCH('Beneficiaries (3)'!$B16,Logs!$A$2:$A$500,0)),"")</f>
        <v>13/04/0009</v>
      </c>
      <c r="K16" s="111" t="str">
        <f>IFERROR(INDEX(Logs!$F$2:$F$500,MATCH('Beneficiaries (3)'!$B16,Logs!$A$2:$A$500,0)),"")</f>
        <v>14/04/0037</v>
      </c>
      <c r="L16" s="111">
        <f>IFERROR(INDEX(Logs!$G$2:$G$500,MATCH('Beneficiaries (3)'!$B16,Logs!$A$2:$A$500,0)),0)</f>
        <v>26</v>
      </c>
      <c r="M16" s="72">
        <v>0</v>
      </c>
      <c r="N16" s="101">
        <f t="shared" si="3"/>
        <v>26</v>
      </c>
      <c r="O16" s="102">
        <f>IFERROR(INDEX(Logs!$H$2:$H$500,MATCH('Beneficiaries (3)'!$B16,Logs!$A$2:$A$500,0)),)</f>
        <v>204.16</v>
      </c>
      <c r="P16" s="103">
        <f t="shared" si="2"/>
        <v>5308.16</v>
      </c>
      <c r="Q16" s="95"/>
      <c r="R16" s="115"/>
    </row>
    <row r="17" spans="1:18" x14ac:dyDescent="0.2">
      <c r="A17" s="100" t="str">
        <f t="shared" si="1"/>
        <v/>
      </c>
      <c r="B17" s="72">
        <v>48</v>
      </c>
      <c r="C17" s="107" t="str">
        <f>IFERROR(INDEX(Logs!$B$2:$B$500,MATCH('Beneficiaries (3)'!$B17,Logs!$A$2:$A$500,0)),"")</f>
        <v>Lindiwe</v>
      </c>
      <c r="D17" s="107" t="str">
        <f>IFERROR(INDEX(Logs!$C$2:$C$500,MATCH('Beneficiaries (3)'!$B17,Logs!$A$2:$A$500,0)),"")</f>
        <v>Grabile</v>
      </c>
      <c r="E17" s="108" t="str">
        <f>IFERROR(INDEX(Logs!$D$2:$D$500,MATCH('Beneficiaries (3)'!$B17,Logs!$A$2:$A$500,0)),"")</f>
        <v>8603171189080</v>
      </c>
      <c r="F17" s="73" t="s">
        <v>761</v>
      </c>
      <c r="G17" s="101" t="str">
        <f t="shared" si="0"/>
        <v>F</v>
      </c>
      <c r="H17" s="72" t="s">
        <v>761</v>
      </c>
      <c r="I17" s="72" t="s">
        <v>762</v>
      </c>
      <c r="J17" s="111" t="str">
        <f>IFERROR(INDEX(Logs!$E$2:$E$500,MATCH('Beneficiaries (3)'!$B17,Logs!$A$2:$A$500,0)),"")</f>
        <v>14/04/0007</v>
      </c>
      <c r="K17" s="111" t="str">
        <f>IFERROR(INDEX(Logs!$F$2:$F$500,MATCH('Beneficiaries (3)'!$B17,Logs!$A$2:$A$500,0)),"")</f>
        <v>14/04/0036</v>
      </c>
      <c r="L17" s="111">
        <f>IFERROR(INDEX(Logs!$G$2:$G$500,MATCH('Beneficiaries (3)'!$B17,Logs!$A$2:$A$500,0)),0)</f>
        <v>16</v>
      </c>
      <c r="M17" s="72">
        <v>0</v>
      </c>
      <c r="N17" s="101">
        <f t="shared" si="3"/>
        <v>16</v>
      </c>
      <c r="O17" s="102">
        <f>IFERROR(INDEX(Logs!$H$2:$H$500,MATCH('Beneficiaries (3)'!$B17,Logs!$A$2:$A$500,0)),)</f>
        <v>204.16</v>
      </c>
      <c r="P17" s="103">
        <f t="shared" si="2"/>
        <v>3266.56</v>
      </c>
      <c r="Q17" s="95"/>
      <c r="R17" s="115"/>
    </row>
    <row r="18" spans="1:18" x14ac:dyDescent="0.2">
      <c r="A18" s="100" t="str">
        <f t="shared" si="1"/>
        <v/>
      </c>
      <c r="B18" s="72">
        <v>49</v>
      </c>
      <c r="C18" s="107" t="str">
        <f>IFERROR(INDEX(Logs!$B$2:$B$500,MATCH('Beneficiaries (3)'!$B18,Logs!$A$2:$A$500,0)),"")</f>
        <v>Nosisana</v>
      </c>
      <c r="D18" s="107" t="str">
        <f>IFERROR(INDEX(Logs!$C$2:$C$500,MATCH('Beneficiaries (3)'!$B18,Logs!$A$2:$A$500,0)),"")</f>
        <v>Peteni</v>
      </c>
      <c r="E18" s="108" t="str">
        <f>IFERROR(INDEX(Logs!$D$2:$D$500,MATCH('Beneficiaries (3)'!$B18,Logs!$A$2:$A$500,0)),"")</f>
        <v>8810160989087</v>
      </c>
      <c r="F18" s="73" t="s">
        <v>761</v>
      </c>
      <c r="G18" s="101" t="str">
        <f t="shared" si="0"/>
        <v>F</v>
      </c>
      <c r="H18" s="72" t="s">
        <v>761</v>
      </c>
      <c r="I18" s="72" t="s">
        <v>762</v>
      </c>
      <c r="J18" s="111" t="str">
        <f>IFERROR(INDEX(Logs!$E$2:$E$500,MATCH('Beneficiaries (3)'!$B18,Logs!$A$2:$A$500,0)),"")</f>
        <v>15/05/0007</v>
      </c>
      <c r="K18" s="111" t="str">
        <f>IFERROR(INDEX(Logs!$F$2:$F$500,MATCH('Beneficiaries (3)'!$B18,Logs!$A$2:$A$500,0)),"")</f>
        <v>14/04/0037</v>
      </c>
      <c r="L18" s="111">
        <f>IFERROR(INDEX(Logs!$G$2:$G$500,MATCH('Beneficiaries (3)'!$B18,Logs!$A$2:$A$500,0)),0)</f>
        <v>17</v>
      </c>
      <c r="M18" s="72">
        <v>0</v>
      </c>
      <c r="N18" s="101">
        <f t="shared" si="3"/>
        <v>17</v>
      </c>
      <c r="O18" s="102">
        <f>IFERROR(INDEX(Logs!$H$2:$H$500,MATCH('Beneficiaries (3)'!$B18,Logs!$A$2:$A$500,0)),)</f>
        <v>204.16</v>
      </c>
      <c r="P18" s="103">
        <f t="shared" si="2"/>
        <v>3470.72</v>
      </c>
      <c r="Q18" s="95"/>
      <c r="R18" s="115"/>
    </row>
    <row r="19" spans="1:18" x14ac:dyDescent="0.2">
      <c r="A19" s="100" t="str">
        <f t="shared" si="1"/>
        <v/>
      </c>
      <c r="B19" s="72">
        <v>50</v>
      </c>
      <c r="C19" s="107" t="str">
        <f>IFERROR(INDEX(Logs!$B$2:$B$500,MATCH('Beneficiaries (3)'!$B19,Logs!$A$2:$A$500,0)),"")</f>
        <v>Esethu</v>
      </c>
      <c r="D19" s="107" t="str">
        <f>IFERROR(INDEX(Logs!$C$2:$C$500,MATCH('Beneficiaries (3)'!$B19,Logs!$A$2:$A$500,0)),"")</f>
        <v>Maqaqa</v>
      </c>
      <c r="E19" s="108" t="str">
        <f>IFERROR(INDEX(Logs!$D$2:$D$500,MATCH('Beneficiaries (3)'!$B19,Logs!$A$2:$A$500,0)),"")</f>
        <v>9411021170089</v>
      </c>
      <c r="F19" s="73" t="s">
        <v>761</v>
      </c>
      <c r="G19" s="101" t="str">
        <f t="shared" si="0"/>
        <v>F</v>
      </c>
      <c r="H19" s="72" t="s">
        <v>761</v>
      </c>
      <c r="I19" s="72" t="s">
        <v>762</v>
      </c>
      <c r="J19" s="111" t="str">
        <f>IFERROR(INDEX(Logs!$E$2:$E$500,MATCH('Beneficiaries (3)'!$B19,Logs!$A$2:$A$500,0)),"")</f>
        <v>15/05/0007</v>
      </c>
      <c r="K19" s="111" t="str">
        <f>IFERROR(INDEX(Logs!$F$2:$F$500,MATCH('Beneficiaries (3)'!$B19,Logs!$A$2:$A$500,0)),"")</f>
        <v>14/04/0037</v>
      </c>
      <c r="L19" s="111">
        <f>IFERROR(INDEX(Logs!$G$2:$G$500,MATCH('Beneficiaries (3)'!$B19,Logs!$A$2:$A$500,0)),0)</f>
        <v>17</v>
      </c>
      <c r="M19" s="72">
        <v>0</v>
      </c>
      <c r="N19" s="101">
        <f t="shared" si="3"/>
        <v>17</v>
      </c>
      <c r="O19" s="102">
        <f>IFERROR(INDEX(Logs!$H$2:$H$500,MATCH('Beneficiaries (3)'!$B19,Logs!$A$2:$A$500,0)),)</f>
        <v>204.16</v>
      </c>
      <c r="P19" s="103">
        <f t="shared" si="2"/>
        <v>3470.72</v>
      </c>
      <c r="Q19" s="95"/>
    </row>
    <row r="20" spans="1:18" x14ac:dyDescent="0.2">
      <c r="A20" s="100" t="str">
        <f t="shared" si="1"/>
        <v/>
      </c>
      <c r="B20" s="72">
        <v>51</v>
      </c>
      <c r="C20" s="107" t="str">
        <f>IFERROR(INDEX(Logs!$B$2:$B$500,MATCH('Beneficiaries (3)'!$B20,Logs!$A$2:$A$500,0)),"")</f>
        <v>Khonziwe</v>
      </c>
      <c r="D20" s="107" t="str">
        <f>IFERROR(INDEX(Logs!$C$2:$C$500,MATCH('Beneficiaries (3)'!$B20,Logs!$A$2:$A$500,0)),"")</f>
        <v>Soxa</v>
      </c>
      <c r="E20" s="108" t="str">
        <f>IFERROR(INDEX(Logs!$D$2:$D$500,MATCH('Beneficiaries (3)'!$B20,Logs!$A$2:$A$500,0)),"")</f>
        <v>9209171063082</v>
      </c>
      <c r="F20" s="73" t="s">
        <v>761</v>
      </c>
      <c r="G20" s="101" t="str">
        <f t="shared" si="0"/>
        <v>F</v>
      </c>
      <c r="H20" s="72" t="s">
        <v>761</v>
      </c>
      <c r="I20" s="72" t="s">
        <v>762</v>
      </c>
      <c r="J20" s="111" t="str">
        <f>IFERROR(INDEX(Logs!$E$2:$E$500,MATCH('Beneficiaries (3)'!$B20,Logs!$A$2:$A$500,0)),"")</f>
        <v>15/05/0007</v>
      </c>
      <c r="K20" s="111" t="str">
        <f>IFERROR(INDEX(Logs!$F$2:$F$500,MATCH('Beneficiaries (3)'!$B20,Logs!$A$2:$A$500,0)),"")</f>
        <v>14/04/0037</v>
      </c>
      <c r="L20" s="111">
        <f>IFERROR(INDEX(Logs!$G$2:$G$500,MATCH('Beneficiaries (3)'!$B20,Logs!$A$2:$A$500,0)),0)</f>
        <v>17</v>
      </c>
      <c r="M20" s="72">
        <v>0</v>
      </c>
      <c r="N20" s="101">
        <f t="shared" si="3"/>
        <v>17</v>
      </c>
      <c r="O20" s="102">
        <f>IFERROR(INDEX(Logs!$H$2:$H$500,MATCH('Beneficiaries (3)'!$B20,Logs!$A$2:$A$500,0)),)</f>
        <v>204.16</v>
      </c>
      <c r="P20" s="103">
        <f t="shared" si="2"/>
        <v>3470.72</v>
      </c>
      <c r="Q20" s="95"/>
    </row>
    <row r="21" spans="1:18" x14ac:dyDescent="0.2">
      <c r="A21" s="100" t="str">
        <f t="shared" si="1"/>
        <v/>
      </c>
      <c r="B21" s="72">
        <v>52</v>
      </c>
      <c r="C21" s="107" t="str">
        <f>IFERROR(INDEX(Logs!$B$2:$B$500,MATCH('Beneficiaries (3)'!$B21,Logs!$A$2:$A$500,0)),"")</f>
        <v>Esther</v>
      </c>
      <c r="D21" s="107" t="str">
        <f>IFERROR(INDEX(Logs!$C$2:$C$500,MATCH('Beneficiaries (3)'!$B21,Logs!$A$2:$A$500,0)),"")</f>
        <v>Paliso</v>
      </c>
      <c r="E21" s="108" t="str">
        <f>IFERROR(INDEX(Logs!$D$2:$D$500,MATCH('Beneficiaries (3)'!$B21,Logs!$A$2:$A$500,0)),"")</f>
        <v>7206101531081</v>
      </c>
      <c r="F21" s="73" t="s">
        <v>761</v>
      </c>
      <c r="G21" s="101" t="str">
        <f t="shared" si="0"/>
        <v>F</v>
      </c>
      <c r="H21" s="72" t="s">
        <v>761</v>
      </c>
      <c r="I21" s="72" t="s">
        <v>762</v>
      </c>
      <c r="J21" s="111" t="str">
        <f>IFERROR(INDEX(Logs!$E$2:$E$500,MATCH('Beneficiaries (3)'!$B21,Logs!$A$2:$A$500,0)),"")</f>
        <v>15/05/0007</v>
      </c>
      <c r="K21" s="111" t="str">
        <f>IFERROR(INDEX(Logs!$F$2:$F$500,MATCH('Beneficiaries (3)'!$B21,Logs!$A$2:$A$500,0)),"")</f>
        <v>14/04/0037</v>
      </c>
      <c r="L21" s="111">
        <f>IFERROR(INDEX(Logs!$G$2:$G$500,MATCH('Beneficiaries (3)'!$B21,Logs!$A$2:$A$500,0)),0)</f>
        <v>17</v>
      </c>
      <c r="M21" s="72">
        <v>0</v>
      </c>
      <c r="N21" s="101">
        <f t="shared" si="3"/>
        <v>17</v>
      </c>
      <c r="O21" s="102">
        <f>IFERROR(INDEX(Logs!$H$2:$H$500,MATCH('Beneficiaries (3)'!$B21,Logs!$A$2:$A$500,0)),)</f>
        <v>204.16</v>
      </c>
      <c r="P21" s="103">
        <f t="shared" si="2"/>
        <v>3470.72</v>
      </c>
      <c r="Q21" s="95"/>
    </row>
    <row r="22" spans="1:18" x14ac:dyDescent="0.2">
      <c r="A22" s="100" t="str">
        <f t="shared" si="1"/>
        <v/>
      </c>
      <c r="B22" s="72">
        <v>53</v>
      </c>
      <c r="C22" s="109" t="str">
        <f>IFERROR(INDEX(Logs!$B$2:$B$500,MATCH('Beneficiaries (3)'!$B22,Logs!$A$2:$A$500,0)),"")</f>
        <v>Ncedisa</v>
      </c>
      <c r="D22" s="107" t="str">
        <f>IFERROR(INDEX(Logs!$C$2:$C$500,MATCH('Beneficiaries (3)'!$B22,Logs!$A$2:$A$500,0)),"")</f>
        <v>Njikili</v>
      </c>
      <c r="E22" s="108" t="str">
        <f>IFERROR(INDEX(Logs!$D$2:$D$500,MATCH('Beneficiaries (3)'!$B22,Logs!$A$2:$A$500,0)),"")</f>
        <v>9505160525084</v>
      </c>
      <c r="F22" s="73" t="s">
        <v>761</v>
      </c>
      <c r="G22" s="101" t="str">
        <f t="shared" si="0"/>
        <v>F</v>
      </c>
      <c r="H22" s="72" t="s">
        <v>761</v>
      </c>
      <c r="I22" s="72" t="s">
        <v>762</v>
      </c>
      <c r="J22" s="111" t="str">
        <f>IFERROR(INDEX(Logs!$E$2:$E$500,MATCH('Beneficiaries (3)'!$B22,Logs!$A$2:$A$500,0)),"")</f>
        <v>15/05/0007</v>
      </c>
      <c r="K22" s="111" t="str">
        <f>IFERROR(INDEX(Logs!$F$2:$F$500,MATCH('Beneficiaries (3)'!$B22,Logs!$A$2:$A$500,0)),"")</f>
        <v>14/04/0037</v>
      </c>
      <c r="L22" s="111">
        <f>IFERROR(INDEX(Logs!$G$2:$G$500,MATCH('Beneficiaries (3)'!$B22,Logs!$A$2:$A$500,0)),0)</f>
        <v>17</v>
      </c>
      <c r="M22" s="72">
        <v>0</v>
      </c>
      <c r="N22" s="101">
        <f t="shared" si="3"/>
        <v>17</v>
      </c>
      <c r="O22" s="102">
        <f>IFERROR(INDEX(Logs!$H$2:$H$500,MATCH('Beneficiaries (3)'!$B22,Logs!$A$2:$A$500,0)),)</f>
        <v>204.16</v>
      </c>
      <c r="P22" s="103">
        <f t="shared" si="2"/>
        <v>3470.72</v>
      </c>
      <c r="Q22" s="95"/>
    </row>
    <row r="23" spans="1:18" x14ac:dyDescent="0.2">
      <c r="A23" s="100" t="str">
        <f t="shared" si="1"/>
        <v/>
      </c>
      <c r="B23" s="72">
        <v>54</v>
      </c>
      <c r="C23" s="109" t="str">
        <f>IFERROR(INDEX(Logs!$B$2:$B$500,MATCH('Beneficiaries (3)'!$B23,Logs!$A$2:$A$500,0)),"")</f>
        <v>Nomfezeko</v>
      </c>
      <c r="D23" s="107" t="str">
        <f>IFERROR(INDEX(Logs!$C$2:$C$500,MATCH('Beneficiaries (3)'!$B23,Logs!$A$2:$A$500,0)),"")</f>
        <v>Mhlabuphalele</v>
      </c>
      <c r="E23" s="108" t="str">
        <f>IFERROR(INDEX(Logs!$D$2:$D$500,MATCH('Beneficiaries (3)'!$B23,Logs!$A$2:$A$500,0)),"")</f>
        <v>9409291226086</v>
      </c>
      <c r="F23" s="73" t="s">
        <v>761</v>
      </c>
      <c r="G23" s="101" t="str">
        <f t="shared" si="0"/>
        <v>F</v>
      </c>
      <c r="H23" s="72" t="s">
        <v>761</v>
      </c>
      <c r="I23" s="72" t="s">
        <v>762</v>
      </c>
      <c r="J23" s="111" t="str">
        <f>IFERROR(INDEX(Logs!$E$2:$E$500,MATCH('Beneficiaries (3)'!$B23,Logs!$A$2:$A$500,0)),"")</f>
        <v>15/05/0007</v>
      </c>
      <c r="K23" s="111" t="str">
        <f>IFERROR(INDEX(Logs!$F$2:$F$500,MATCH('Beneficiaries (3)'!$B23,Logs!$A$2:$A$500,0)),"")</f>
        <v/>
      </c>
      <c r="L23" s="111">
        <f>IFERROR(INDEX(Logs!$G$2:$G$500,MATCH('Beneficiaries (3)'!$B23,Logs!$A$2:$A$500,0)),0)</f>
        <v>17</v>
      </c>
      <c r="M23" s="72">
        <v>0</v>
      </c>
      <c r="N23" s="101">
        <f t="shared" si="3"/>
        <v>17</v>
      </c>
      <c r="O23" s="102">
        <f>IFERROR(INDEX(Logs!$H$2:$H$500,MATCH('Beneficiaries (3)'!$B23,Logs!$A$2:$A$500,0)),)</f>
        <v>204.16</v>
      </c>
      <c r="P23" s="103">
        <f t="shared" si="2"/>
        <v>3470.72</v>
      </c>
      <c r="Q23" s="95"/>
    </row>
    <row r="24" spans="1:18" x14ac:dyDescent="0.2">
      <c r="A24" s="100" t="str">
        <f t="shared" si="1"/>
        <v/>
      </c>
      <c r="B24" s="72">
        <v>55</v>
      </c>
      <c r="C24" s="109" t="str">
        <f>IFERROR(INDEX(Logs!$B$2:$B$500,MATCH('Beneficiaries (3)'!$B24,Logs!$A$2:$A$500,0)),"")</f>
        <v>Babalwa</v>
      </c>
      <c r="D24" s="107" t="str">
        <f>IFERROR(INDEX(Logs!$C$2:$C$500,MATCH('Beneficiaries (3)'!$B24,Logs!$A$2:$A$500,0)),"")</f>
        <v>Mekuto-Gweqe</v>
      </c>
      <c r="E24" s="108" t="str">
        <f>IFERROR(INDEX(Logs!$D$2:$D$500,MATCH('Beneficiaries (3)'!$B24,Logs!$A$2:$A$500,0)),"")</f>
        <v>8904081095080</v>
      </c>
      <c r="F24" s="73" t="s">
        <v>761</v>
      </c>
      <c r="G24" s="101" t="str">
        <f t="shared" si="0"/>
        <v>F</v>
      </c>
      <c r="H24" s="72" t="s">
        <v>761</v>
      </c>
      <c r="I24" s="72" t="s">
        <v>762</v>
      </c>
      <c r="J24" s="111" t="str">
        <f>IFERROR(INDEX(Logs!$E$2:$E$500,MATCH('Beneficiaries (3)'!$B24,Logs!$A$2:$A$500,0)),"")</f>
        <v>15/05/0007</v>
      </c>
      <c r="K24" s="111" t="str">
        <f>IFERROR(INDEX(Logs!$F$2:$F$500,MATCH('Beneficiaries (3)'!$B24,Logs!$A$2:$A$500,0)),"")</f>
        <v>14/04/0037</v>
      </c>
      <c r="L24" s="111">
        <f>IFERROR(INDEX(Logs!$G$2:$G$500,MATCH('Beneficiaries (3)'!$B24,Logs!$A$2:$A$500,0)),0)</f>
        <v>17</v>
      </c>
      <c r="M24" s="72">
        <v>0</v>
      </c>
      <c r="N24" s="101">
        <f t="shared" si="3"/>
        <v>17</v>
      </c>
      <c r="O24" s="102">
        <f>IFERROR(INDEX(Logs!$H$2:$H$500,MATCH('Beneficiaries (3)'!$B24,Logs!$A$2:$A$500,0)),)</f>
        <v>204.16</v>
      </c>
      <c r="P24" s="103">
        <f t="shared" si="2"/>
        <v>3470.72</v>
      </c>
      <c r="Q24" s="95"/>
    </row>
    <row r="25" spans="1:18" x14ac:dyDescent="0.2">
      <c r="A25" s="100" t="str">
        <f t="shared" si="1"/>
        <v/>
      </c>
      <c r="B25" s="72">
        <v>56</v>
      </c>
      <c r="C25" s="110" t="str">
        <f>IFERROR(INDEX(Logs!$B$2:$B$500,MATCH('Beneficiaries (3)'!$B25,Logs!$A$2:$A$500,0)),"")</f>
        <v>Ayabonga</v>
      </c>
      <c r="D25" s="107" t="str">
        <f>IFERROR(INDEX(Logs!$C$2:$C$500,MATCH('Beneficiaries (3)'!$B25,Logs!$A$2:$A$500,0)),"")</f>
        <v>Bokweni</v>
      </c>
      <c r="E25" s="108" t="str">
        <f>IFERROR(INDEX(Logs!$D$2:$D$500,MATCH('Beneficiaries (3)'!$B25,Logs!$A$2:$A$500,0)),"")</f>
        <v>9508270711081</v>
      </c>
      <c r="F25" s="73" t="s">
        <v>761</v>
      </c>
      <c r="G25" s="101" t="str">
        <f t="shared" si="0"/>
        <v>F</v>
      </c>
      <c r="H25" s="72" t="s">
        <v>761</v>
      </c>
      <c r="I25" s="72" t="s">
        <v>762</v>
      </c>
      <c r="J25" s="111" t="str">
        <f>IFERROR(INDEX(Logs!$E$2:$E$500,MATCH('Beneficiaries (3)'!$B25,Logs!$A$2:$A$500,0)),"")</f>
        <v>15/05/0007</v>
      </c>
      <c r="K25" s="111" t="str">
        <f>IFERROR(INDEX(Logs!$F$2:$F$500,MATCH('Beneficiaries (3)'!$B25,Logs!$A$2:$A$500,0)),"")</f>
        <v>14/04/0037</v>
      </c>
      <c r="L25" s="111">
        <f>IFERROR(INDEX(Logs!$G$2:$G$500,MATCH('Beneficiaries (3)'!$B25,Logs!$A$2:$A$500,0)),0)</f>
        <v>17</v>
      </c>
      <c r="M25" s="72">
        <v>0</v>
      </c>
      <c r="N25" s="101">
        <f t="shared" si="3"/>
        <v>17</v>
      </c>
      <c r="O25" s="102">
        <f>IFERROR(INDEX(Logs!$H$2:$H$500,MATCH('Beneficiaries (3)'!$B25,Logs!$A$2:$A$500,0)),)</f>
        <v>204.16</v>
      </c>
      <c r="P25" s="103">
        <f t="shared" si="2"/>
        <v>3470.72</v>
      </c>
      <c r="Q25" s="95"/>
    </row>
    <row r="26" spans="1:18" x14ac:dyDescent="0.2">
      <c r="A26" s="100" t="str">
        <f t="shared" si="1"/>
        <v/>
      </c>
      <c r="B26" s="72">
        <v>57</v>
      </c>
      <c r="C26" s="110" t="str">
        <f>IFERROR(INDEX(Logs!$B$2:$B$500,MATCH('Beneficiaries (3)'!$B26,Logs!$A$2:$A$500,0)),"")</f>
        <v>Nontembiso</v>
      </c>
      <c r="D26" s="107" t="str">
        <f>IFERROR(INDEX(Logs!$C$2:$C$500,MATCH('Beneficiaries (3)'!$B26,Logs!$A$2:$A$500,0)),"")</f>
        <v>Yozi</v>
      </c>
      <c r="E26" s="108" t="str">
        <f>IFERROR(INDEX(Logs!$D$2:$D$500,MATCH('Beneficiaries (3)'!$B26,Logs!$A$2:$A$500,0)),"")</f>
        <v>7610260997084</v>
      </c>
      <c r="F26" s="73" t="s">
        <v>761</v>
      </c>
      <c r="G26" s="101" t="str">
        <f t="shared" si="0"/>
        <v>F</v>
      </c>
      <c r="H26" s="72" t="s">
        <v>761</v>
      </c>
      <c r="I26" s="72" t="s">
        <v>762</v>
      </c>
      <c r="J26" s="111" t="str">
        <f>IFERROR(INDEX(Logs!$E$2:$E$500,MATCH('Beneficiaries (3)'!$B26,Logs!$A$2:$A$500,0)),"")</f>
        <v>15/05/0007</v>
      </c>
      <c r="K26" s="111" t="str">
        <f>IFERROR(INDEX(Logs!$F$2:$F$500,MATCH('Beneficiaries (3)'!$B26,Logs!$A$2:$A$500,0)),"")</f>
        <v>14/04/0037</v>
      </c>
      <c r="L26" s="111">
        <f>IFERROR(INDEX(Logs!$G$2:$G$500,MATCH('Beneficiaries (3)'!$B26,Logs!$A$2:$A$500,0)),0)</f>
        <v>17</v>
      </c>
      <c r="M26" s="72">
        <v>0</v>
      </c>
      <c r="N26" s="101">
        <f t="shared" si="3"/>
        <v>17</v>
      </c>
      <c r="O26" s="102">
        <f>IFERROR(INDEX(Logs!$H$2:$H$500,MATCH('Beneficiaries (3)'!$B26,Logs!$A$2:$A$500,0)),)</f>
        <v>204.16</v>
      </c>
      <c r="P26" s="103">
        <f t="shared" si="2"/>
        <v>3470.72</v>
      </c>
      <c r="Q26" s="95"/>
    </row>
    <row r="27" spans="1:18" x14ac:dyDescent="0.2">
      <c r="A27" s="100" t="str">
        <f t="shared" si="1"/>
        <v>INVALID ID - Check Digit</v>
      </c>
      <c r="B27" s="72">
        <v>58</v>
      </c>
      <c r="C27" s="110" t="str">
        <f>IFERROR(INDEX(Logs!$B$2:$B$500,MATCH('Beneficiaries (3)'!$B27,Logs!$A$2:$A$500,0)),"")</f>
        <v>Masibulele</v>
      </c>
      <c r="D27" s="107" t="str">
        <f>IFERROR(INDEX(Logs!$C$2:$C$500,MATCH('Beneficiaries (3)'!$B27,Logs!$A$2:$A$500,0)),"")</f>
        <v>Mgwayi</v>
      </c>
      <c r="E27" s="108" t="str">
        <f>IFERROR(INDEX(Logs!$D$2:$D$500,MATCH('Beneficiaries (3)'!$B27,Logs!$A$2:$A$500,0)),"")</f>
        <v>8001036219086</v>
      </c>
      <c r="F27" s="73" t="s">
        <v>761</v>
      </c>
      <c r="G27" s="101" t="str">
        <f t="shared" si="0"/>
        <v>M</v>
      </c>
      <c r="H27" s="72" t="s">
        <v>761</v>
      </c>
      <c r="I27" s="72" t="s">
        <v>762</v>
      </c>
      <c r="J27" s="111" t="str">
        <f>IFERROR(INDEX(Logs!$E$2:$E$500,MATCH('Beneficiaries (3)'!$B27,Logs!$A$2:$A$500,0)),"")</f>
        <v>15/05/0007</v>
      </c>
      <c r="K27" s="111" t="str">
        <f>IFERROR(INDEX(Logs!$F$2:$F$500,MATCH('Beneficiaries (3)'!$B27,Logs!$A$2:$A$500,0)),"")</f>
        <v>14/04/0037</v>
      </c>
      <c r="L27" s="111">
        <f>IFERROR(INDEX(Logs!$G$2:$G$500,MATCH('Beneficiaries (3)'!$B27,Logs!$A$2:$A$500,0)),0)</f>
        <v>16</v>
      </c>
      <c r="M27" s="72">
        <v>0</v>
      </c>
      <c r="N27" s="101">
        <f t="shared" si="3"/>
        <v>16</v>
      </c>
      <c r="O27" s="102">
        <f>IFERROR(INDEX(Logs!$H$2:$H$500,MATCH('Beneficiaries (3)'!$B27,Logs!$A$2:$A$500,0)),)</f>
        <v>204.16</v>
      </c>
      <c r="P27" s="103">
        <f t="shared" si="2"/>
        <v>3266.56</v>
      </c>
      <c r="Q27" s="95"/>
    </row>
    <row r="28" spans="1:18" x14ac:dyDescent="0.2">
      <c r="A28" s="100" t="str">
        <f t="shared" si="1"/>
        <v/>
      </c>
      <c r="B28" s="72">
        <v>59</v>
      </c>
      <c r="C28" s="110" t="str">
        <f>IFERROR(INDEX(Logs!$B$2:$B$500,MATCH('Beneficiaries (3)'!$B28,Logs!$A$2:$A$500,0)),"")</f>
        <v>Nomthandazo</v>
      </c>
      <c r="D28" s="107" t="str">
        <f>IFERROR(INDEX(Logs!$C$2:$C$500,MATCH('Beneficiaries (3)'!$B28,Logs!$A$2:$A$500,0)),"")</f>
        <v>Nkwatsha</v>
      </c>
      <c r="E28" s="108" t="str">
        <f>IFERROR(INDEX(Logs!$D$2:$D$500,MATCH('Beneficiaries (3)'!$B28,Logs!$A$2:$A$500,0)),"")</f>
        <v>8012200737085</v>
      </c>
      <c r="F28" s="73" t="s">
        <v>761</v>
      </c>
      <c r="G28" s="101" t="str">
        <f t="shared" si="0"/>
        <v>F</v>
      </c>
      <c r="H28" s="72" t="s">
        <v>761</v>
      </c>
      <c r="I28" s="72" t="s">
        <v>762</v>
      </c>
      <c r="J28" s="111" t="str">
        <f>IFERROR(INDEX(Logs!$E$2:$E$500,MATCH('Beneficiaries (3)'!$B28,Logs!$A$2:$A$500,0)),"")</f>
        <v>15/05/0007</v>
      </c>
      <c r="K28" s="111" t="str">
        <f>IFERROR(INDEX(Logs!$F$2:$F$500,MATCH('Beneficiaries (3)'!$B28,Logs!$A$2:$A$500,0)),"")</f>
        <v>14/04/0037</v>
      </c>
      <c r="L28" s="111">
        <f>IFERROR(INDEX(Logs!$G$2:$G$500,MATCH('Beneficiaries (3)'!$B28,Logs!$A$2:$A$500,0)),0)</f>
        <v>16</v>
      </c>
      <c r="M28" s="72">
        <v>0</v>
      </c>
      <c r="N28" s="101">
        <f t="shared" si="3"/>
        <v>16</v>
      </c>
      <c r="O28" s="102">
        <f>IFERROR(INDEX(Logs!$H$2:$H$500,MATCH('Beneficiaries (3)'!$B28,Logs!$A$2:$A$500,0)),)</f>
        <v>204.16</v>
      </c>
      <c r="P28" s="103">
        <f t="shared" si="2"/>
        <v>3266.56</v>
      </c>
      <c r="Q28" s="95"/>
    </row>
    <row r="29" spans="1:18" x14ac:dyDescent="0.2">
      <c r="A29" s="100" t="str">
        <f t="shared" si="1"/>
        <v/>
      </c>
      <c r="B29" s="72">
        <v>60</v>
      </c>
      <c r="C29" s="110" t="str">
        <f>IFERROR(INDEX(Logs!$B$2:$B$500,MATCH('Beneficiaries (3)'!$B29,Logs!$A$2:$A$500,0)),"")</f>
        <v>Nosakhiwo</v>
      </c>
      <c r="D29" s="110" t="str">
        <f>IFERROR(INDEX(Logs!$C$2:$C$500,MATCH('Beneficiaries (3)'!$B29,Logs!$A$2:$A$500,0)),"")</f>
        <v>Mdeyi</v>
      </c>
      <c r="E29" s="108" t="str">
        <f>IFERROR(INDEX(Logs!$D$2:$D$500,MATCH('Beneficiaries (3)'!$B29,Logs!$A$2:$A$500,0)),"")</f>
        <v>7010160871085</v>
      </c>
      <c r="F29" s="73" t="s">
        <v>761</v>
      </c>
      <c r="G29" s="101" t="str">
        <f t="shared" si="0"/>
        <v>F</v>
      </c>
      <c r="H29" s="72" t="s">
        <v>761</v>
      </c>
      <c r="I29" s="72" t="s">
        <v>762</v>
      </c>
      <c r="J29" s="111" t="str">
        <f>IFERROR(INDEX(Logs!$E$2:$E$500,MATCH('Beneficiaries (3)'!$B29,Logs!$A$2:$A$500,0)),"")</f>
        <v>15/05/0007</v>
      </c>
      <c r="K29" s="111" t="str">
        <f>IFERROR(INDEX(Logs!$F$2:$F$500,MATCH('Beneficiaries (3)'!$B29,Logs!$A$2:$A$500,0)),"")</f>
        <v>14/04/0037</v>
      </c>
      <c r="L29" s="111">
        <f>IFERROR(INDEX(Logs!$G$2:$G$500,MATCH('Beneficiaries (3)'!$B29,Logs!$A$2:$A$500,0)),0)</f>
        <v>16</v>
      </c>
      <c r="M29" s="72">
        <v>0</v>
      </c>
      <c r="N29" s="101">
        <f t="shared" si="3"/>
        <v>16</v>
      </c>
      <c r="O29" s="102">
        <f>IFERROR(INDEX(Logs!$H$2:$H$500,MATCH('Beneficiaries (3)'!$B29,Logs!$A$2:$A$500,0)),)</f>
        <v>204.16</v>
      </c>
      <c r="P29" s="103">
        <f t="shared" si="2"/>
        <v>3266.56</v>
      </c>
      <c r="Q29" s="95"/>
    </row>
    <row r="30" spans="1:18" x14ac:dyDescent="0.2"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104">
        <f>SUM(L10:L29)</f>
        <v>345</v>
      </c>
      <c r="M30" s="104">
        <f>SUM(M10:M29)</f>
        <v>0</v>
      </c>
      <c r="N30" s="104">
        <f>SUM(N10:N29)</f>
        <v>345</v>
      </c>
      <c r="O30" s="105">
        <f>SUM(O10:O29)</f>
        <v>4097.119999999999</v>
      </c>
      <c r="P30" s="106">
        <f>SUM(P10:P29)</f>
        <v>70671.840000000011</v>
      </c>
      <c r="Q30" s="97"/>
    </row>
    <row r="31" spans="1:18" ht="27" customHeight="1" x14ac:dyDescent="0.2">
      <c r="B31" s="217" t="s">
        <v>98</v>
      </c>
      <c r="C31" s="217"/>
      <c r="D31" s="98" t="s">
        <v>97</v>
      </c>
      <c r="E31" s="218" t="str">
        <f>Project!$G$30</f>
        <v>Benjamin Milandou-Loubeka</v>
      </c>
      <c r="F31" s="218"/>
      <c r="G31" s="218"/>
      <c r="H31" s="219" t="s">
        <v>101</v>
      </c>
      <c r="I31" s="220"/>
      <c r="J31" s="220"/>
      <c r="K31" s="220"/>
      <c r="L31" s="220"/>
      <c r="M31" s="220"/>
      <c r="N31" s="220"/>
      <c r="O31" s="220"/>
      <c r="P31" s="220"/>
      <c r="Q31" s="87"/>
    </row>
    <row r="32" spans="1:18" ht="27" customHeight="1" x14ac:dyDescent="0.2">
      <c r="B32" s="217"/>
      <c r="C32" s="217"/>
      <c r="D32" s="98" t="s">
        <v>100</v>
      </c>
      <c r="E32" s="221">
        <f>Project!$AN$1</f>
        <v>45199</v>
      </c>
      <c r="F32" s="221"/>
      <c r="G32" s="221"/>
      <c r="H32" s="219"/>
      <c r="I32" s="220"/>
      <c r="J32" s="220"/>
      <c r="K32" s="220"/>
      <c r="L32" s="220"/>
      <c r="M32" s="220"/>
      <c r="N32" s="220"/>
      <c r="O32" s="220"/>
      <c r="P32" s="220"/>
      <c r="Q32" s="87"/>
    </row>
    <row r="33" spans="2:17" ht="14.25" customHeight="1" x14ac:dyDescent="0.2">
      <c r="B33" s="88"/>
      <c r="C33" s="88"/>
      <c r="D33" s="99"/>
      <c r="E33" s="87"/>
      <c r="F33" s="87"/>
      <c r="G33" s="87"/>
      <c r="H33" s="81"/>
      <c r="I33" s="87"/>
      <c r="J33" s="87"/>
      <c r="K33" s="87"/>
      <c r="L33" s="87"/>
      <c r="M33" s="87"/>
      <c r="N33" s="87"/>
      <c r="O33" s="87"/>
      <c r="P33" s="87"/>
      <c r="Q33" s="87"/>
    </row>
    <row r="34" spans="2:17" ht="27" customHeight="1" x14ac:dyDescent="0.2">
      <c r="B34" s="217" t="s">
        <v>99</v>
      </c>
      <c r="C34" s="217"/>
      <c r="D34" s="98" t="s">
        <v>97</v>
      </c>
      <c r="E34" s="220"/>
      <c r="F34" s="220"/>
      <c r="G34" s="220"/>
      <c r="H34" s="219" t="s">
        <v>101</v>
      </c>
      <c r="I34" s="220"/>
      <c r="J34" s="220"/>
      <c r="K34" s="220"/>
      <c r="L34" s="220"/>
      <c r="M34" s="220"/>
      <c r="N34" s="220"/>
      <c r="O34" s="220"/>
      <c r="P34" s="220"/>
      <c r="Q34" s="87"/>
    </row>
    <row r="35" spans="2:17" ht="27" customHeight="1" x14ac:dyDescent="0.2">
      <c r="B35" s="217"/>
      <c r="C35" s="217"/>
      <c r="D35" s="98" t="s">
        <v>100</v>
      </c>
      <c r="E35" s="220"/>
      <c r="F35" s="220"/>
      <c r="G35" s="220"/>
      <c r="H35" s="219"/>
      <c r="I35" s="220"/>
      <c r="J35" s="220"/>
      <c r="K35" s="220"/>
      <c r="L35" s="220"/>
      <c r="M35" s="220"/>
      <c r="N35" s="220"/>
      <c r="O35" s="220"/>
      <c r="P35" s="220"/>
      <c r="Q35" s="87"/>
    </row>
    <row r="74" spans="2:2" x14ac:dyDescent="0.2">
      <c r="B74" s="87"/>
    </row>
  </sheetData>
  <sheetProtection algorithmName="SHA-512" hashValue="UOE1IS9eQ06PobFQ+PQBACWXmj5dg17k6n4spqpq7NH0b1fLlB2QEB9CH4v7akjAJJpdPhpq5o9A3iN1xtlasg==" saltValue="fAe1xB992WerXSRrwGJ51A==" spinCount="100000" sheet="1" selectLockedCells="1"/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conditionalFormatting sqref="C10:C21">
    <cfRule type="uniqueValues" dxfId="116" priority="9"/>
  </conditionalFormatting>
  <conditionalFormatting sqref="D10:D20">
    <cfRule type="uniqueValues" dxfId="115" priority="8"/>
  </conditionalFormatting>
  <conditionalFormatting sqref="D21:D28">
    <cfRule type="uniqueValues" dxfId="114" priority="7"/>
  </conditionalFormatting>
  <conditionalFormatting sqref="F10:F29">
    <cfRule type="expression" dxfId="113" priority="6">
      <formula>$C10=""</formula>
    </cfRule>
  </conditionalFormatting>
  <conditionalFormatting sqref="H10:I29">
    <cfRule type="expression" dxfId="112" priority="5">
      <formula>$C10=""</formula>
    </cfRule>
  </conditionalFormatting>
  <conditionalFormatting sqref="B10:B29">
    <cfRule type="expression" dxfId="111" priority="4">
      <formula>$C10=""</formula>
    </cfRule>
  </conditionalFormatting>
  <conditionalFormatting sqref="L10:L29">
    <cfRule type="cellIs" dxfId="110" priority="3" operator="equal">
      <formula>0</formula>
    </cfRule>
  </conditionalFormatting>
  <conditionalFormatting sqref="M10:N29">
    <cfRule type="expression" dxfId="109" priority="2">
      <formula>$C10=""</formula>
    </cfRule>
  </conditionalFormatting>
  <conditionalFormatting sqref="O10:P29">
    <cfRule type="expression" dxfId="108" priority="1">
      <formula>$C10=""</formula>
    </cfRule>
  </conditionalFormatting>
  <dataValidations disablePrompts="1" count="1">
    <dataValidation allowBlank="1" showInputMessage="1" showErrorMessage="1" promptTitle="Month" sqref="I6" xr:uid="{DEE755D3-2AC6-47E8-90DF-13A6E943207E}"/>
  </dataValidations>
  <pageMargins left="0.23622047244094491" right="0.23622047244094491" top="0.74803149606299213" bottom="0.74803149606299213" header="0.31496062992125984" footer="0.31496062992125984"/>
  <pageSetup paperSize="9" scale="86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87659-726D-4D9F-99E7-7E284CBAEE11}">
  <sheetPr codeName="Sheet18">
    <pageSetUpPr fitToPage="1"/>
  </sheetPr>
  <dimension ref="A1:R74"/>
  <sheetViews>
    <sheetView showGridLines="0" zoomScaleNormal="100" workbookViewId="0">
      <selection activeCell="S1" sqref="S1"/>
    </sheetView>
  </sheetViews>
  <sheetFormatPr defaultColWidth="8.85546875" defaultRowHeight="12.75" x14ac:dyDescent="0.2"/>
  <cols>
    <col min="1" max="1" width="20.7109375" style="76" customWidth="1"/>
    <col min="2" max="2" width="4.42578125" style="80" customWidth="1"/>
    <col min="3" max="5" width="24.42578125" style="80" customWidth="1"/>
    <col min="6" max="6" width="10.140625" style="80" customWidth="1"/>
    <col min="7" max="9" width="8.85546875" style="80"/>
    <col min="10" max="11" width="10.140625" style="80" bestFit="1" customWidth="1"/>
    <col min="12" max="15" width="13.7109375" style="80" customWidth="1"/>
    <col min="16" max="17" width="14.5703125" style="80" customWidth="1"/>
    <col min="18" max="18" width="8.85546875" style="150"/>
    <col min="19" max="16384" width="8.85546875" style="80"/>
  </cols>
  <sheetData>
    <row r="1" spans="1:18" ht="15.75" x14ac:dyDescent="0.25">
      <c r="B1" s="77" t="s">
        <v>44</v>
      </c>
      <c r="C1" s="78"/>
      <c r="D1" s="78"/>
      <c r="E1" s="79" t="s">
        <v>1</v>
      </c>
      <c r="G1" s="78"/>
      <c r="H1" s="78"/>
      <c r="I1" s="78"/>
      <c r="R1" s="114">
        <f>IF(Beneficiaries!$P$30&gt;0,1,"")</f>
        <v>1</v>
      </c>
    </row>
    <row r="2" spans="1:18" ht="15.75" x14ac:dyDescent="0.25"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114">
        <f>IF('Beneficiaries (2)'!$P$30&gt;0,1,"")</f>
        <v>1</v>
      </c>
    </row>
    <row r="3" spans="1:18" x14ac:dyDescent="0.2">
      <c r="B3" s="210" t="s">
        <v>28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81"/>
      <c r="R3" s="114">
        <f>IF('Beneficiaries (3)'!$P$30&gt;0,1,"")</f>
        <v>1</v>
      </c>
    </row>
    <row r="4" spans="1:18" x14ac:dyDescent="0.2">
      <c r="C4" s="77"/>
      <c r="D4" s="77"/>
      <c r="E4" s="77"/>
      <c r="F4" s="77"/>
      <c r="G4" s="77"/>
      <c r="R4" s="114">
        <f>IF('Beneficiaries (4)'!$P$30&gt;0,1,"")</f>
        <v>1</v>
      </c>
    </row>
    <row r="5" spans="1:18" ht="12.75" customHeight="1" x14ac:dyDescent="0.2">
      <c r="B5" s="211" t="s">
        <v>12</v>
      </c>
      <c r="C5" s="212"/>
      <c r="D5" s="215" t="str">
        <f>Project!$Z$25</f>
        <v>WSDS/24/111i</v>
      </c>
      <c r="E5" s="215"/>
      <c r="F5" s="82"/>
      <c r="H5" s="83" t="s">
        <v>80</v>
      </c>
      <c r="I5" s="83" t="s">
        <v>81</v>
      </c>
      <c r="J5" s="77"/>
      <c r="K5" s="216" t="s">
        <v>78</v>
      </c>
      <c r="L5" s="216"/>
      <c r="M5" s="216"/>
      <c r="N5" s="85"/>
      <c r="O5" s="85"/>
      <c r="P5" s="77"/>
      <c r="Q5" s="77"/>
      <c r="R5" s="114">
        <f>IF('Beneficiaries (5)'!$P$30&gt;0,1,"")</f>
        <v>1</v>
      </c>
    </row>
    <row r="6" spans="1:18" x14ac:dyDescent="0.2">
      <c r="B6" s="213"/>
      <c r="C6" s="214"/>
      <c r="D6" s="215"/>
      <c r="E6" s="215"/>
      <c r="F6" s="82"/>
      <c r="H6" s="112" t="str">
        <f>TEXT(Project!$AN$1,"YYYY")</f>
        <v>2023</v>
      </c>
      <c r="I6" s="112" t="str">
        <f>TEXT(Project!$AN$1,"MMMM")</f>
        <v>September</v>
      </c>
      <c r="J6" s="86"/>
      <c r="K6" s="57">
        <v>1</v>
      </c>
      <c r="L6" s="84" t="s">
        <v>79</v>
      </c>
      <c r="M6" s="113">
        <f>IF(K6&gt;0,COUNT(R1:R20),"")</f>
        <v>14</v>
      </c>
      <c r="N6" s="85"/>
      <c r="O6" s="85"/>
      <c r="P6" s="87"/>
      <c r="Q6" s="87"/>
      <c r="R6" s="114">
        <f>IF('Beneficiaries (6)'!$P$30&gt;0,1,"")</f>
        <v>1</v>
      </c>
    </row>
    <row r="7" spans="1:18" x14ac:dyDescent="0.2">
      <c r="B7" s="88"/>
      <c r="C7" s="88"/>
      <c r="D7" s="88"/>
      <c r="E7" s="87"/>
      <c r="F7" s="87"/>
      <c r="H7" s="86"/>
      <c r="I7" s="86"/>
      <c r="J7" s="86"/>
      <c r="K7" s="87"/>
      <c r="L7" s="85"/>
      <c r="M7" s="85"/>
      <c r="N7" s="85"/>
      <c r="O7" s="85"/>
      <c r="P7" s="87"/>
      <c r="Q7" s="87"/>
      <c r="R7" s="114">
        <f>IF('Beneficiaries (7)'!$P$30&gt;0,1,"")</f>
        <v>1</v>
      </c>
    </row>
    <row r="8" spans="1:18" x14ac:dyDescent="0.2">
      <c r="B8" s="89"/>
      <c r="C8" s="90" t="s">
        <v>34</v>
      </c>
      <c r="D8" s="90" t="s">
        <v>34</v>
      </c>
      <c r="E8" s="90" t="s">
        <v>34</v>
      </c>
      <c r="F8" s="90" t="s">
        <v>35</v>
      </c>
      <c r="G8" s="89"/>
      <c r="H8" s="89"/>
      <c r="I8" s="90" t="s">
        <v>36</v>
      </c>
      <c r="J8" s="89"/>
      <c r="K8" s="90" t="s">
        <v>37</v>
      </c>
      <c r="L8" s="90" t="s">
        <v>38</v>
      </c>
      <c r="M8" s="90" t="s">
        <v>42</v>
      </c>
      <c r="N8" s="90"/>
      <c r="O8" s="90" t="s">
        <v>104</v>
      </c>
      <c r="P8" s="90"/>
      <c r="Q8" s="91"/>
      <c r="R8" s="114">
        <f>IF('Beneficiaries (8)'!$P$30&gt;0,1,"")</f>
        <v>1</v>
      </c>
    </row>
    <row r="9" spans="1:18" ht="45" x14ac:dyDescent="0.2">
      <c r="B9" s="92" t="s">
        <v>29</v>
      </c>
      <c r="C9" s="92" t="s">
        <v>30</v>
      </c>
      <c r="D9" s="92" t="s">
        <v>31</v>
      </c>
      <c r="E9" s="92" t="s">
        <v>32</v>
      </c>
      <c r="F9" s="93" t="s">
        <v>96</v>
      </c>
      <c r="G9" s="93" t="s">
        <v>33</v>
      </c>
      <c r="H9" s="93" t="s">
        <v>76</v>
      </c>
      <c r="I9" s="93" t="s">
        <v>77</v>
      </c>
      <c r="J9" s="93" t="s">
        <v>95</v>
      </c>
      <c r="K9" s="93" t="s">
        <v>94</v>
      </c>
      <c r="L9" s="93" t="s">
        <v>41</v>
      </c>
      <c r="M9" s="93" t="s">
        <v>103</v>
      </c>
      <c r="N9" s="93" t="s">
        <v>116</v>
      </c>
      <c r="O9" s="93" t="s">
        <v>102</v>
      </c>
      <c r="P9" s="93" t="s">
        <v>117</v>
      </c>
      <c r="Q9" s="94"/>
      <c r="R9" s="114">
        <f>IF('Beneficiaries (9)'!$P$30&gt;0,1,"")</f>
        <v>1</v>
      </c>
    </row>
    <row r="10" spans="1:18" x14ac:dyDescent="0.2">
      <c r="A10" s="100" t="str">
        <f>ID_Valid(E10)</f>
        <v/>
      </c>
      <c r="B10" s="72">
        <v>61</v>
      </c>
      <c r="C10" s="107" t="str">
        <f>IFERROR(INDEX(Logs!$B$2:$B$500,MATCH('Beneficiaries (4)'!$B10,Logs!$A$2:$A$500,0)),"")</f>
        <v>Nobedesho</v>
      </c>
      <c r="D10" s="107" t="str">
        <f>IFERROR(INDEX(Logs!$C$2:$C$500,MATCH('Beneficiaries (4)'!$B10,Logs!$A$2:$A$500,0)),"")</f>
        <v>Mdutyulwa</v>
      </c>
      <c r="E10" s="108" t="str">
        <f>IFERROR(INDEX(Logs!$D$2:$D$500,MATCH('Beneficiaries (4)'!$B10,Logs!$A$2:$A$500,0)),"")</f>
        <v>7312261147088</v>
      </c>
      <c r="F10" s="73" t="s">
        <v>761</v>
      </c>
      <c r="G10" s="101" t="str">
        <f t="shared" ref="G10:G29" si="0">TheGender(E10)</f>
        <v>F</v>
      </c>
      <c r="H10" s="72" t="s">
        <v>761</v>
      </c>
      <c r="I10" s="74" t="s">
        <v>762</v>
      </c>
      <c r="J10" s="110" t="str">
        <f>IFERROR(INDEX(Logs!$E$2:$E$500,MATCH('Beneficiaries (4)'!$B10,Logs!$A$2:$A$500,0)),"")</f>
        <v>15/05/0007</v>
      </c>
      <c r="K10" s="110" t="str">
        <f>IFERROR(INDEX(Logs!$F$2:$F$500,MATCH('Beneficiaries (4)'!$B10,Logs!$A$2:$A$500,0)),"")</f>
        <v>14/04/0037</v>
      </c>
      <c r="L10" s="111">
        <f>IFERROR(INDEX(Logs!$G$2:$G$500,MATCH('Beneficiaries (4)'!$B10,Logs!$A$2:$A$500,0)),0)</f>
        <v>16</v>
      </c>
      <c r="M10" s="72">
        <v>0</v>
      </c>
      <c r="N10" s="101">
        <f>M10+L10</f>
        <v>16</v>
      </c>
      <c r="O10" s="102">
        <f>IFERROR(INDEX(Logs!$H$2:$H$500,MATCH('Beneficiaries (4)'!$B10,Logs!$A$2:$A$500,0)),)</f>
        <v>204.16</v>
      </c>
      <c r="P10" s="103">
        <f>IFERROR(N10*O10,0)</f>
        <v>3266.56</v>
      </c>
      <c r="Q10" s="95"/>
      <c r="R10" s="114">
        <f>IF('Beneficiaries (10)'!$P$30&gt;0,1,"")</f>
        <v>1</v>
      </c>
    </row>
    <row r="11" spans="1:18" x14ac:dyDescent="0.2">
      <c r="A11" s="100" t="str">
        <f t="shared" ref="A11:A29" si="1">ID_Valid(E11)</f>
        <v/>
      </c>
      <c r="B11" s="72">
        <v>62</v>
      </c>
      <c r="C11" s="107" t="str">
        <f>IFERROR(INDEX(Logs!$B$2:$B$500,MATCH('Beneficiaries (4)'!$B11,Logs!$A$2:$A$500,0)),"")</f>
        <v>Bolekwa</v>
      </c>
      <c r="D11" s="107" t="str">
        <f>IFERROR(INDEX(Logs!$C$2:$C$500,MATCH('Beneficiaries (4)'!$B11,Logs!$A$2:$A$500,0)),"")</f>
        <v>Matyeni</v>
      </c>
      <c r="E11" s="108" t="str">
        <f>IFERROR(INDEX(Logs!$D$2:$D$500,MATCH('Beneficiaries (4)'!$B11,Logs!$A$2:$A$500,0)),"")</f>
        <v>8607051144081</v>
      </c>
      <c r="F11" s="73" t="s">
        <v>761</v>
      </c>
      <c r="G11" s="101" t="str">
        <f t="shared" si="0"/>
        <v>F</v>
      </c>
      <c r="H11" s="72" t="s">
        <v>761</v>
      </c>
      <c r="I11" s="72" t="s">
        <v>762</v>
      </c>
      <c r="J11" s="111" t="str">
        <f>IFERROR(INDEX(Logs!$E$2:$E$500,MATCH('Beneficiaries (4)'!$B11,Logs!$A$2:$A$500,0)),"")</f>
        <v>15/05/0007</v>
      </c>
      <c r="K11" s="111" t="str">
        <f>IFERROR(INDEX(Logs!$F$2:$F$500,MATCH('Beneficiaries (4)'!$B11,Logs!$A$2:$A$500,0)),"")</f>
        <v>14/04/0037</v>
      </c>
      <c r="L11" s="111">
        <f>IFERROR(INDEX(Logs!$G$2:$G$500,MATCH('Beneficiaries (4)'!$B11,Logs!$A$2:$A$500,0)),0)</f>
        <v>16</v>
      </c>
      <c r="M11" s="72">
        <v>0</v>
      </c>
      <c r="N11" s="101">
        <f>L11+M11</f>
        <v>16</v>
      </c>
      <c r="O11" s="102">
        <f>IFERROR(INDEX(Logs!$H$2:$H$500,MATCH('Beneficiaries (4)'!$B11,Logs!$A$2:$A$500,0)),)</f>
        <v>204.16</v>
      </c>
      <c r="P11" s="103">
        <f t="shared" ref="P11:P29" si="2">IFERROR(N11*O11,0)</f>
        <v>3266.56</v>
      </c>
      <c r="Q11" s="95"/>
      <c r="R11" s="114">
        <f>IF('Beneficiaries (11)'!$P$30&gt;0,1,"")</f>
        <v>1</v>
      </c>
    </row>
    <row r="12" spans="1:18" x14ac:dyDescent="0.2">
      <c r="A12" s="100" t="str">
        <f t="shared" si="1"/>
        <v/>
      </c>
      <c r="B12" s="72">
        <v>63</v>
      </c>
      <c r="C12" s="107" t="str">
        <f>IFERROR(INDEX(Logs!$B$2:$B$500,MATCH('Beneficiaries (4)'!$B12,Logs!$A$2:$A$500,0)),"")</f>
        <v>Nandipha</v>
      </c>
      <c r="D12" s="107" t="str">
        <f>IFERROR(INDEX(Logs!$C$2:$C$500,MATCH('Beneficiaries (4)'!$B12,Logs!$A$2:$A$500,0)),"")</f>
        <v>Mbalekwa</v>
      </c>
      <c r="E12" s="108" t="str">
        <f>IFERROR(INDEX(Logs!$D$2:$D$500,MATCH('Beneficiaries (4)'!$B12,Logs!$A$2:$A$500,0)),"")</f>
        <v>8409201011082</v>
      </c>
      <c r="F12" s="73" t="s">
        <v>761</v>
      </c>
      <c r="G12" s="101" t="str">
        <f t="shared" si="0"/>
        <v>F</v>
      </c>
      <c r="H12" s="72" t="s">
        <v>761</v>
      </c>
      <c r="I12" s="72" t="s">
        <v>762</v>
      </c>
      <c r="J12" s="111" t="str">
        <f>IFERROR(INDEX(Logs!$E$2:$E$500,MATCH('Beneficiaries (4)'!$B12,Logs!$A$2:$A$500,0)),"")</f>
        <v>15/05/0007</v>
      </c>
      <c r="K12" s="111" t="str">
        <f>IFERROR(INDEX(Logs!$F$2:$F$500,MATCH('Beneficiaries (4)'!$B12,Logs!$A$2:$A$500,0)),"")</f>
        <v>14/04/0037</v>
      </c>
      <c r="L12" s="111">
        <f>IFERROR(INDEX(Logs!$G$2:$G$500,MATCH('Beneficiaries (4)'!$B12,Logs!$A$2:$A$500,0)),0)</f>
        <v>16</v>
      </c>
      <c r="M12" s="72">
        <v>0</v>
      </c>
      <c r="N12" s="101">
        <f t="shared" ref="N12:N29" si="3">L12+M12</f>
        <v>16</v>
      </c>
      <c r="O12" s="102">
        <f>IFERROR(INDEX(Logs!$H$2:$H$500,MATCH('Beneficiaries (4)'!$B12,Logs!$A$2:$A$500,0)),)</f>
        <v>204.16</v>
      </c>
      <c r="P12" s="103">
        <f t="shared" si="2"/>
        <v>3266.56</v>
      </c>
      <c r="Q12" s="95"/>
      <c r="R12" s="114">
        <f>IF('Beneficiaries (12)'!$P$30&gt;0,1,"")</f>
        <v>1</v>
      </c>
    </row>
    <row r="13" spans="1:18" x14ac:dyDescent="0.2">
      <c r="A13" s="100" t="str">
        <f t="shared" si="1"/>
        <v/>
      </c>
      <c r="B13" s="72">
        <v>64</v>
      </c>
      <c r="C13" s="107" t="str">
        <f>IFERROR(INDEX(Logs!$B$2:$B$500,MATCH('Beneficiaries (4)'!$B13,Logs!$A$2:$A$500,0)),"")</f>
        <v>Ncedisa</v>
      </c>
      <c r="D13" s="107" t="str">
        <f>IFERROR(INDEX(Logs!$C$2:$C$500,MATCH('Beneficiaries (4)'!$B13,Logs!$A$2:$A$500,0)),"")</f>
        <v>Gwija</v>
      </c>
      <c r="E13" s="108" t="str">
        <f>IFERROR(INDEX(Logs!$D$2:$D$500,MATCH('Beneficiaries (4)'!$B13,Logs!$A$2:$A$500,0)),"")</f>
        <v>8502201187082</v>
      </c>
      <c r="F13" s="73" t="s">
        <v>761</v>
      </c>
      <c r="G13" s="101" t="str">
        <f t="shared" si="0"/>
        <v>F</v>
      </c>
      <c r="H13" s="72" t="s">
        <v>761</v>
      </c>
      <c r="I13" s="72" t="s">
        <v>762</v>
      </c>
      <c r="J13" s="111" t="str">
        <f>IFERROR(INDEX(Logs!$E$2:$E$500,MATCH('Beneficiaries (4)'!$B13,Logs!$A$2:$A$500,0)),"")</f>
        <v>15/05/0007</v>
      </c>
      <c r="K13" s="111" t="str">
        <f>IFERROR(INDEX(Logs!$F$2:$F$500,MATCH('Beneficiaries (4)'!$B13,Logs!$A$2:$A$500,0)),"")</f>
        <v>14/04/0037</v>
      </c>
      <c r="L13" s="111">
        <f>IFERROR(INDEX(Logs!$G$2:$G$500,MATCH('Beneficiaries (4)'!$B13,Logs!$A$2:$A$500,0)),0)</f>
        <v>16</v>
      </c>
      <c r="M13" s="72">
        <v>0</v>
      </c>
      <c r="N13" s="101">
        <f t="shared" si="3"/>
        <v>16</v>
      </c>
      <c r="O13" s="102">
        <f>IFERROR(INDEX(Logs!$H$2:$H$500,MATCH('Beneficiaries (4)'!$B13,Logs!$A$2:$A$500,0)),)</f>
        <v>204.16</v>
      </c>
      <c r="P13" s="103">
        <f t="shared" si="2"/>
        <v>3266.56</v>
      </c>
      <c r="Q13" s="95"/>
      <c r="R13" s="114">
        <f>IF('Beneficiaries (13)'!$P$30&gt;0,1,"")</f>
        <v>1</v>
      </c>
    </row>
    <row r="14" spans="1:18" x14ac:dyDescent="0.2">
      <c r="A14" s="100" t="str">
        <f t="shared" si="1"/>
        <v/>
      </c>
      <c r="B14" s="72">
        <v>65</v>
      </c>
      <c r="C14" s="107" t="str">
        <f>IFERROR(INDEX(Logs!$B$2:$B$500,MATCH('Beneficiaries (4)'!$B14,Logs!$A$2:$A$500,0)),"")</f>
        <v>Aviwe</v>
      </c>
      <c r="D14" s="107" t="str">
        <f>IFERROR(INDEX(Logs!$C$2:$C$500,MATCH('Beneficiaries (4)'!$B14,Logs!$A$2:$A$500,0)),"")</f>
        <v>Totoyi</v>
      </c>
      <c r="E14" s="108" t="str">
        <f>IFERROR(INDEX(Logs!$D$2:$D$500,MATCH('Beneficiaries (4)'!$B14,Logs!$A$2:$A$500,0)),"")</f>
        <v>8711161072081</v>
      </c>
      <c r="F14" s="73" t="s">
        <v>761</v>
      </c>
      <c r="G14" s="101" t="str">
        <f t="shared" si="0"/>
        <v>F</v>
      </c>
      <c r="H14" s="72" t="s">
        <v>761</v>
      </c>
      <c r="I14" s="72" t="s">
        <v>762</v>
      </c>
      <c r="J14" s="111" t="str">
        <f>IFERROR(INDEX(Logs!$E$2:$E$500,MATCH('Beneficiaries (4)'!$B14,Logs!$A$2:$A$500,0)),"")</f>
        <v>15/05/0007</v>
      </c>
      <c r="K14" s="111" t="str">
        <f>IFERROR(INDEX(Logs!$F$2:$F$500,MATCH('Beneficiaries (4)'!$B14,Logs!$A$2:$A$500,0)),"")</f>
        <v>14/04/0037</v>
      </c>
      <c r="L14" s="111">
        <f>IFERROR(INDEX(Logs!$G$2:$G$500,MATCH('Beneficiaries (4)'!$B14,Logs!$A$2:$A$500,0)),0)</f>
        <v>16</v>
      </c>
      <c r="M14" s="72">
        <v>0</v>
      </c>
      <c r="N14" s="101">
        <f t="shared" si="3"/>
        <v>16</v>
      </c>
      <c r="O14" s="102">
        <f>IFERROR(INDEX(Logs!$H$2:$H$500,MATCH('Beneficiaries (4)'!$B14,Logs!$A$2:$A$500,0)),)</f>
        <v>204.16</v>
      </c>
      <c r="P14" s="103">
        <f t="shared" si="2"/>
        <v>3266.56</v>
      </c>
      <c r="Q14" s="95"/>
      <c r="R14" s="114">
        <f>IF('Beneficiaries (14)'!$P$30&gt;0,1,"")</f>
        <v>1</v>
      </c>
    </row>
    <row r="15" spans="1:18" x14ac:dyDescent="0.2">
      <c r="A15" s="100" t="str">
        <f t="shared" si="1"/>
        <v/>
      </c>
      <c r="B15" s="72">
        <v>66</v>
      </c>
      <c r="C15" s="107" t="str">
        <f>IFERROR(INDEX(Logs!$B$2:$B$500,MATCH('Beneficiaries (4)'!$B15,Logs!$A$2:$A$500,0)),"")</f>
        <v>Ivy</v>
      </c>
      <c r="D15" s="107" t="str">
        <f>IFERROR(INDEX(Logs!$C$2:$C$500,MATCH('Beneficiaries (4)'!$B15,Logs!$A$2:$A$500,0)),"")</f>
        <v>Vikimpi</v>
      </c>
      <c r="E15" s="108" t="str">
        <f>IFERROR(INDEX(Logs!$D$2:$D$500,MATCH('Beneficiaries (4)'!$B15,Logs!$A$2:$A$500,0)),"")</f>
        <v>8106190991080</v>
      </c>
      <c r="F15" s="73" t="s">
        <v>761</v>
      </c>
      <c r="G15" s="101" t="str">
        <f t="shared" si="0"/>
        <v>F</v>
      </c>
      <c r="H15" s="72" t="s">
        <v>761</v>
      </c>
      <c r="I15" s="72" t="s">
        <v>762</v>
      </c>
      <c r="J15" s="111" t="str">
        <f>IFERROR(INDEX(Logs!$E$2:$E$500,MATCH('Beneficiaries (4)'!$B15,Logs!$A$2:$A$500,0)),"")</f>
        <v>15/05/0007</v>
      </c>
      <c r="K15" s="111" t="str">
        <f>IFERROR(INDEX(Logs!$F$2:$F$500,MATCH('Beneficiaries (4)'!$B15,Logs!$A$2:$A$500,0)),"")</f>
        <v>14/04/0037</v>
      </c>
      <c r="L15" s="111">
        <f>IFERROR(INDEX(Logs!$G$2:$G$500,MATCH('Beneficiaries (4)'!$B15,Logs!$A$2:$A$500,0)),0)</f>
        <v>16</v>
      </c>
      <c r="M15" s="72">
        <v>0</v>
      </c>
      <c r="N15" s="101">
        <f t="shared" si="3"/>
        <v>16</v>
      </c>
      <c r="O15" s="102">
        <f>IFERROR(INDEX(Logs!$H$2:$H$500,MATCH('Beneficiaries (4)'!$B15,Logs!$A$2:$A$500,0)),)</f>
        <v>204.16</v>
      </c>
      <c r="P15" s="103">
        <f t="shared" si="2"/>
        <v>3266.56</v>
      </c>
      <c r="Q15" s="95"/>
      <c r="R15" s="115"/>
    </row>
    <row r="16" spans="1:18" x14ac:dyDescent="0.2">
      <c r="A16" s="100" t="str">
        <f t="shared" si="1"/>
        <v/>
      </c>
      <c r="B16" s="72">
        <v>67</v>
      </c>
      <c r="C16" s="107" t="str">
        <f>IFERROR(INDEX(Logs!$B$2:$B$500,MATCH('Beneficiaries (4)'!$B16,Logs!$A$2:$A$500,0)),"")</f>
        <v>Bukiwe</v>
      </c>
      <c r="D16" s="107" t="str">
        <f>IFERROR(INDEX(Logs!$C$2:$C$500,MATCH('Beneficiaries (4)'!$B16,Logs!$A$2:$A$500,0)),"")</f>
        <v>Didi</v>
      </c>
      <c r="E16" s="108" t="str">
        <f>IFERROR(INDEX(Logs!$D$2:$D$500,MATCH('Beneficiaries (4)'!$B16,Logs!$A$2:$A$500,0)),"")</f>
        <v>8603130395083</v>
      </c>
      <c r="F16" s="73" t="s">
        <v>761</v>
      </c>
      <c r="G16" s="101" t="str">
        <f t="shared" si="0"/>
        <v>F</v>
      </c>
      <c r="H16" s="72" t="s">
        <v>761</v>
      </c>
      <c r="I16" s="72" t="s">
        <v>762</v>
      </c>
      <c r="J16" s="111" t="str">
        <f>IFERROR(INDEX(Logs!$E$2:$E$500,MATCH('Beneficiaries (4)'!$B16,Logs!$A$2:$A$500,0)),"")</f>
        <v>15/05/0007</v>
      </c>
      <c r="K16" s="111" t="str">
        <f>IFERROR(INDEX(Logs!$F$2:$F$500,MATCH('Beneficiaries (4)'!$B16,Logs!$A$2:$A$500,0)),"")</f>
        <v>14/04/0037</v>
      </c>
      <c r="L16" s="111">
        <f>IFERROR(INDEX(Logs!$G$2:$G$500,MATCH('Beneficiaries (4)'!$B16,Logs!$A$2:$A$500,0)),0)</f>
        <v>16</v>
      </c>
      <c r="M16" s="72">
        <v>0</v>
      </c>
      <c r="N16" s="101">
        <f t="shared" si="3"/>
        <v>16</v>
      </c>
      <c r="O16" s="102">
        <f>IFERROR(INDEX(Logs!$H$2:$H$500,MATCH('Beneficiaries (4)'!$B16,Logs!$A$2:$A$500,0)),)</f>
        <v>204.16</v>
      </c>
      <c r="P16" s="103">
        <f t="shared" si="2"/>
        <v>3266.56</v>
      </c>
      <c r="Q16" s="95"/>
      <c r="R16" s="115"/>
    </row>
    <row r="17" spans="1:17" x14ac:dyDescent="0.2">
      <c r="A17" s="100" t="str">
        <f t="shared" si="1"/>
        <v/>
      </c>
      <c r="B17" s="72">
        <v>68</v>
      </c>
      <c r="C17" s="107" t="str">
        <f>IFERROR(INDEX(Logs!$B$2:$B$500,MATCH('Beneficiaries (4)'!$B17,Logs!$A$2:$A$500,0)),"")</f>
        <v>Mpofukazi</v>
      </c>
      <c r="D17" s="107" t="str">
        <f>IFERROR(INDEX(Logs!$C$2:$C$500,MATCH('Beneficiaries (4)'!$B17,Logs!$A$2:$A$500,0)),"")</f>
        <v>Maphasa</v>
      </c>
      <c r="E17" s="108" t="str">
        <f>IFERROR(INDEX(Logs!$D$2:$D$500,MATCH('Beneficiaries (4)'!$B17,Logs!$A$2:$A$500,0)),"")</f>
        <v>7404130833087</v>
      </c>
      <c r="F17" s="73" t="s">
        <v>761</v>
      </c>
      <c r="G17" s="101" t="str">
        <f t="shared" si="0"/>
        <v>F</v>
      </c>
      <c r="H17" s="72" t="s">
        <v>761</v>
      </c>
      <c r="I17" s="72" t="s">
        <v>762</v>
      </c>
      <c r="J17" s="111" t="str">
        <f>IFERROR(INDEX(Logs!$E$2:$E$500,MATCH('Beneficiaries (4)'!$B17,Logs!$A$2:$A$500,0)),"")</f>
        <v>15/05/0007</v>
      </c>
      <c r="K17" s="111" t="str">
        <f>IFERROR(INDEX(Logs!$F$2:$F$500,MATCH('Beneficiaries (4)'!$B17,Logs!$A$2:$A$500,0)),"")</f>
        <v>14/04/0037</v>
      </c>
      <c r="L17" s="111">
        <f>IFERROR(INDEX(Logs!$G$2:$G$500,MATCH('Beneficiaries (4)'!$B17,Logs!$A$2:$A$500,0)),0)</f>
        <v>16</v>
      </c>
      <c r="M17" s="72">
        <v>0</v>
      </c>
      <c r="N17" s="101">
        <f t="shared" si="3"/>
        <v>16</v>
      </c>
      <c r="O17" s="102">
        <f>IFERROR(INDEX(Logs!$H$2:$H$500,MATCH('Beneficiaries (4)'!$B17,Logs!$A$2:$A$500,0)),)</f>
        <v>204.16</v>
      </c>
      <c r="P17" s="103">
        <f t="shared" si="2"/>
        <v>3266.56</v>
      </c>
      <c r="Q17" s="95"/>
    </row>
    <row r="18" spans="1:17" x14ac:dyDescent="0.2">
      <c r="A18" s="100" t="str">
        <f t="shared" si="1"/>
        <v/>
      </c>
      <c r="B18" s="72">
        <v>69</v>
      </c>
      <c r="C18" s="107" t="str">
        <f>IFERROR(INDEX(Logs!$B$2:$B$500,MATCH('Beneficiaries (4)'!$B18,Logs!$A$2:$A$500,0)),"")</f>
        <v>Ntombizanele</v>
      </c>
      <c r="D18" s="107" t="str">
        <f>IFERROR(INDEX(Logs!$C$2:$C$500,MATCH('Beneficiaries (4)'!$B18,Logs!$A$2:$A$500,0)),"")</f>
        <v>Nomayama</v>
      </c>
      <c r="E18" s="108" t="str">
        <f>IFERROR(INDEX(Logs!$D$2:$D$500,MATCH('Beneficiaries (4)'!$B18,Logs!$A$2:$A$500,0)),"")</f>
        <v>8105060879086</v>
      </c>
      <c r="F18" s="73" t="s">
        <v>761</v>
      </c>
      <c r="G18" s="101" t="str">
        <f t="shared" si="0"/>
        <v>F</v>
      </c>
      <c r="H18" s="72" t="s">
        <v>761</v>
      </c>
      <c r="I18" s="72" t="s">
        <v>762</v>
      </c>
      <c r="J18" s="111" t="str">
        <f>IFERROR(INDEX(Logs!$E$2:$E$500,MATCH('Beneficiaries (4)'!$B18,Logs!$A$2:$A$500,0)),"")</f>
        <v>15/05/0007</v>
      </c>
      <c r="K18" s="111" t="str">
        <f>IFERROR(INDEX(Logs!$F$2:$F$500,MATCH('Beneficiaries (4)'!$B18,Logs!$A$2:$A$500,0)),"")</f>
        <v>14/04/0037</v>
      </c>
      <c r="L18" s="111">
        <f>IFERROR(INDEX(Logs!$G$2:$G$500,MATCH('Beneficiaries (4)'!$B18,Logs!$A$2:$A$500,0)),0)</f>
        <v>16</v>
      </c>
      <c r="M18" s="72">
        <v>0</v>
      </c>
      <c r="N18" s="101">
        <f t="shared" si="3"/>
        <v>16</v>
      </c>
      <c r="O18" s="102">
        <f>IFERROR(INDEX(Logs!$H$2:$H$500,MATCH('Beneficiaries (4)'!$B18,Logs!$A$2:$A$500,0)),)</f>
        <v>204.16</v>
      </c>
      <c r="P18" s="103">
        <f t="shared" si="2"/>
        <v>3266.56</v>
      </c>
      <c r="Q18" s="95"/>
    </row>
    <row r="19" spans="1:17" x14ac:dyDescent="0.2">
      <c r="A19" s="100" t="str">
        <f t="shared" si="1"/>
        <v/>
      </c>
      <c r="B19" s="72">
        <v>70</v>
      </c>
      <c r="C19" s="107" t="str">
        <f>IFERROR(INDEX(Logs!$B$2:$B$500,MATCH('Beneficiaries (4)'!$B19,Logs!$A$2:$A$500,0)),"")</f>
        <v>Nolusindiso</v>
      </c>
      <c r="D19" s="107" t="str">
        <f>IFERROR(INDEX(Logs!$C$2:$C$500,MATCH('Beneficiaries (4)'!$B19,Logs!$A$2:$A$500,0)),"")</f>
        <v>Limane</v>
      </c>
      <c r="E19" s="108" t="str">
        <f>IFERROR(INDEX(Logs!$D$2:$D$500,MATCH('Beneficiaries (4)'!$B19,Logs!$A$2:$A$500,0)),"")</f>
        <v>8007130760082</v>
      </c>
      <c r="F19" s="73" t="s">
        <v>761</v>
      </c>
      <c r="G19" s="101" t="str">
        <f t="shared" si="0"/>
        <v>F</v>
      </c>
      <c r="H19" s="72" t="s">
        <v>761</v>
      </c>
      <c r="I19" s="72" t="s">
        <v>762</v>
      </c>
      <c r="J19" s="111" t="str">
        <f>IFERROR(INDEX(Logs!$E$2:$E$500,MATCH('Beneficiaries (4)'!$B19,Logs!$A$2:$A$500,0)),"")</f>
        <v>15/05/0007</v>
      </c>
      <c r="K19" s="111" t="str">
        <f>IFERROR(INDEX(Logs!$F$2:$F$500,MATCH('Beneficiaries (4)'!$B19,Logs!$A$2:$A$500,0)),"")</f>
        <v>14/04/0037</v>
      </c>
      <c r="L19" s="111">
        <f>IFERROR(INDEX(Logs!$G$2:$G$500,MATCH('Beneficiaries (4)'!$B19,Logs!$A$2:$A$500,0)),0)</f>
        <v>16</v>
      </c>
      <c r="M19" s="72">
        <v>0</v>
      </c>
      <c r="N19" s="101">
        <f t="shared" si="3"/>
        <v>16</v>
      </c>
      <c r="O19" s="102">
        <f>IFERROR(INDEX(Logs!$H$2:$H$500,MATCH('Beneficiaries (4)'!$B19,Logs!$A$2:$A$500,0)),)</f>
        <v>204.16</v>
      </c>
      <c r="P19" s="103">
        <f t="shared" si="2"/>
        <v>3266.56</v>
      </c>
      <c r="Q19" s="95"/>
    </row>
    <row r="20" spans="1:17" x14ac:dyDescent="0.2">
      <c r="A20" s="100" t="str">
        <f t="shared" si="1"/>
        <v/>
      </c>
      <c r="B20" s="72">
        <v>71</v>
      </c>
      <c r="C20" s="107" t="str">
        <f>IFERROR(INDEX(Logs!$B$2:$B$500,MATCH('Beneficiaries (4)'!$B20,Logs!$A$2:$A$500,0)),"")</f>
        <v>Jabulisile</v>
      </c>
      <c r="D20" s="107" t="str">
        <f>IFERROR(INDEX(Logs!$C$2:$C$500,MATCH('Beneficiaries (4)'!$B20,Logs!$A$2:$A$500,0)),"")</f>
        <v>Mbundu</v>
      </c>
      <c r="E20" s="108" t="str">
        <f>IFERROR(INDEX(Logs!$D$2:$D$500,MATCH('Beneficiaries (4)'!$B20,Logs!$A$2:$A$500,0)),"")</f>
        <v>8201150966089</v>
      </c>
      <c r="F20" s="73" t="s">
        <v>761</v>
      </c>
      <c r="G20" s="101" t="str">
        <f t="shared" si="0"/>
        <v>F</v>
      </c>
      <c r="H20" s="72" t="s">
        <v>761</v>
      </c>
      <c r="I20" s="72" t="s">
        <v>762</v>
      </c>
      <c r="J20" s="111" t="str">
        <f>IFERROR(INDEX(Logs!$E$2:$E$500,MATCH('Beneficiaries (4)'!$B20,Logs!$A$2:$A$500,0)),"")</f>
        <v>15/05/0007</v>
      </c>
      <c r="K20" s="111" t="str">
        <f>IFERROR(INDEX(Logs!$F$2:$F$500,MATCH('Beneficiaries (4)'!$B20,Logs!$A$2:$A$500,0)),"")</f>
        <v>14/04/0037</v>
      </c>
      <c r="L20" s="111">
        <f>IFERROR(INDEX(Logs!$G$2:$G$500,MATCH('Beneficiaries (4)'!$B20,Logs!$A$2:$A$500,0)),0)</f>
        <v>16</v>
      </c>
      <c r="M20" s="72">
        <v>0</v>
      </c>
      <c r="N20" s="101">
        <f t="shared" si="3"/>
        <v>16</v>
      </c>
      <c r="O20" s="102">
        <f>IFERROR(INDEX(Logs!$H$2:$H$500,MATCH('Beneficiaries (4)'!$B20,Logs!$A$2:$A$500,0)),)</f>
        <v>204.16</v>
      </c>
      <c r="P20" s="103">
        <f t="shared" si="2"/>
        <v>3266.56</v>
      </c>
      <c r="Q20" s="95"/>
    </row>
    <row r="21" spans="1:17" x14ac:dyDescent="0.2">
      <c r="A21" s="100" t="str">
        <f t="shared" si="1"/>
        <v/>
      </c>
      <c r="B21" s="72">
        <v>72</v>
      </c>
      <c r="C21" s="107" t="str">
        <f>IFERROR(INDEX(Logs!$B$2:$B$500,MATCH('Beneficiaries (4)'!$B21,Logs!$A$2:$A$500,0)),"")</f>
        <v>Nokwayintombi</v>
      </c>
      <c r="D21" s="107" t="str">
        <f>IFERROR(INDEX(Logs!$C$2:$C$500,MATCH('Beneficiaries (4)'!$B21,Logs!$A$2:$A$500,0)),"")</f>
        <v>Botha</v>
      </c>
      <c r="E21" s="108" t="str">
        <f>IFERROR(INDEX(Logs!$D$2:$D$500,MATCH('Beneficiaries (4)'!$B21,Logs!$A$2:$A$500,0)),"")</f>
        <v>7308280810086</v>
      </c>
      <c r="F21" s="73" t="s">
        <v>761</v>
      </c>
      <c r="G21" s="101" t="str">
        <f t="shared" si="0"/>
        <v>F</v>
      </c>
      <c r="H21" s="72" t="s">
        <v>761</v>
      </c>
      <c r="I21" s="72" t="s">
        <v>762</v>
      </c>
      <c r="J21" s="111" t="str">
        <f>IFERROR(INDEX(Logs!$E$2:$E$500,MATCH('Beneficiaries (4)'!$B21,Logs!$A$2:$A$500,0)),"")</f>
        <v>15/05/0007</v>
      </c>
      <c r="K21" s="111" t="str">
        <f>IFERROR(INDEX(Logs!$F$2:$F$500,MATCH('Beneficiaries (4)'!$B21,Logs!$A$2:$A$500,0)),"")</f>
        <v>14/04/0037</v>
      </c>
      <c r="L21" s="111">
        <f>IFERROR(INDEX(Logs!$G$2:$G$500,MATCH('Beneficiaries (4)'!$B21,Logs!$A$2:$A$500,0)),0)</f>
        <v>16</v>
      </c>
      <c r="M21" s="72">
        <v>0</v>
      </c>
      <c r="N21" s="101">
        <f t="shared" si="3"/>
        <v>16</v>
      </c>
      <c r="O21" s="102">
        <f>IFERROR(INDEX(Logs!$H$2:$H$500,MATCH('Beneficiaries (4)'!$B21,Logs!$A$2:$A$500,0)),)</f>
        <v>204.16</v>
      </c>
      <c r="P21" s="103">
        <f t="shared" si="2"/>
        <v>3266.56</v>
      </c>
      <c r="Q21" s="95"/>
    </row>
    <row r="22" spans="1:17" x14ac:dyDescent="0.2">
      <c r="A22" s="100" t="str">
        <f t="shared" si="1"/>
        <v/>
      </c>
      <c r="B22" s="72">
        <v>73</v>
      </c>
      <c r="C22" s="109" t="str">
        <f>IFERROR(INDEX(Logs!$B$2:$B$500,MATCH('Beneficiaries (4)'!$B22,Logs!$A$2:$A$500,0)),"")</f>
        <v>Phumza</v>
      </c>
      <c r="D22" s="107" t="str">
        <f>IFERROR(INDEX(Logs!$C$2:$C$500,MATCH('Beneficiaries (4)'!$B22,Logs!$A$2:$A$500,0)),"")</f>
        <v>Stondo</v>
      </c>
      <c r="E22" s="108" t="str">
        <f>IFERROR(INDEX(Logs!$D$2:$D$500,MATCH('Beneficiaries (4)'!$B22,Logs!$A$2:$A$500,0)),"")</f>
        <v>8511100577087</v>
      </c>
      <c r="F22" s="73" t="s">
        <v>761</v>
      </c>
      <c r="G22" s="101" t="str">
        <f t="shared" si="0"/>
        <v>F</v>
      </c>
      <c r="H22" s="72" t="s">
        <v>761</v>
      </c>
      <c r="I22" s="72" t="s">
        <v>762</v>
      </c>
      <c r="J22" s="111" t="str">
        <f>IFERROR(INDEX(Logs!$E$2:$E$500,MATCH('Beneficiaries (4)'!$B22,Logs!$A$2:$A$500,0)),"")</f>
        <v>15/05/0007</v>
      </c>
      <c r="K22" s="111" t="str">
        <f>IFERROR(INDEX(Logs!$F$2:$F$500,MATCH('Beneficiaries (4)'!$B22,Logs!$A$2:$A$500,0)),"")</f>
        <v>14/04/0037</v>
      </c>
      <c r="L22" s="111">
        <f>IFERROR(INDEX(Logs!$G$2:$G$500,MATCH('Beneficiaries (4)'!$B22,Logs!$A$2:$A$500,0)),0)</f>
        <v>16</v>
      </c>
      <c r="M22" s="72">
        <v>0</v>
      </c>
      <c r="N22" s="101">
        <f t="shared" si="3"/>
        <v>16</v>
      </c>
      <c r="O22" s="102">
        <f>IFERROR(INDEX(Logs!$H$2:$H$500,MATCH('Beneficiaries (4)'!$B22,Logs!$A$2:$A$500,0)),)</f>
        <v>204.16</v>
      </c>
      <c r="P22" s="103">
        <f t="shared" si="2"/>
        <v>3266.56</v>
      </c>
      <c r="Q22" s="95"/>
    </row>
    <row r="23" spans="1:17" x14ac:dyDescent="0.2">
      <c r="A23" s="100" t="str">
        <f t="shared" si="1"/>
        <v/>
      </c>
      <c r="B23" s="72">
        <v>74</v>
      </c>
      <c r="C23" s="109" t="str">
        <f>IFERROR(INDEX(Logs!$B$2:$B$500,MATCH('Beneficiaries (4)'!$B23,Logs!$A$2:$A$500,0)),"")</f>
        <v>Nolundi</v>
      </c>
      <c r="D23" s="107" t="str">
        <f>IFERROR(INDEX(Logs!$C$2:$C$500,MATCH('Beneficiaries (4)'!$B23,Logs!$A$2:$A$500,0)),"")</f>
        <v>Finya</v>
      </c>
      <c r="E23" s="108" t="str">
        <f>IFERROR(INDEX(Logs!$D$2:$D$500,MATCH('Beneficiaries (4)'!$B23,Logs!$A$2:$A$500,0)),"")</f>
        <v>7905290735086</v>
      </c>
      <c r="F23" s="73" t="s">
        <v>761</v>
      </c>
      <c r="G23" s="101" t="str">
        <f t="shared" si="0"/>
        <v>F</v>
      </c>
      <c r="H23" s="72" t="s">
        <v>761</v>
      </c>
      <c r="I23" s="72" t="s">
        <v>762</v>
      </c>
      <c r="J23" s="111" t="str">
        <f>IFERROR(INDEX(Logs!$E$2:$E$500,MATCH('Beneficiaries (4)'!$B23,Logs!$A$2:$A$500,0)),"")</f>
        <v>15/05/0007</v>
      </c>
      <c r="K23" s="111" t="str">
        <f>IFERROR(INDEX(Logs!$F$2:$F$500,MATCH('Beneficiaries (4)'!$B23,Logs!$A$2:$A$500,0)),"")</f>
        <v>14/04/0037</v>
      </c>
      <c r="L23" s="111">
        <f>IFERROR(INDEX(Logs!$G$2:$G$500,MATCH('Beneficiaries (4)'!$B23,Logs!$A$2:$A$500,0)),0)</f>
        <v>16</v>
      </c>
      <c r="M23" s="72">
        <v>0</v>
      </c>
      <c r="N23" s="101">
        <f t="shared" si="3"/>
        <v>16</v>
      </c>
      <c r="O23" s="102">
        <f>IFERROR(INDEX(Logs!$H$2:$H$500,MATCH('Beneficiaries (4)'!$B23,Logs!$A$2:$A$500,0)),)</f>
        <v>204.16</v>
      </c>
      <c r="P23" s="103">
        <f t="shared" si="2"/>
        <v>3266.56</v>
      </c>
      <c r="Q23" s="95"/>
    </row>
    <row r="24" spans="1:17" x14ac:dyDescent="0.2">
      <c r="A24" s="100" t="str">
        <f t="shared" si="1"/>
        <v/>
      </c>
      <c r="B24" s="72">
        <v>75</v>
      </c>
      <c r="C24" s="109" t="str">
        <f>IFERROR(INDEX(Logs!$B$2:$B$500,MATCH('Beneficiaries (4)'!$B24,Logs!$A$2:$A$500,0)),"")</f>
        <v>Nosibulele</v>
      </c>
      <c r="D24" s="107" t="str">
        <f>IFERROR(INDEX(Logs!$C$2:$C$500,MATCH('Beneficiaries (4)'!$B24,Logs!$A$2:$A$500,0)),"")</f>
        <v>Tshaka</v>
      </c>
      <c r="E24" s="108" t="str">
        <f>IFERROR(INDEX(Logs!$D$2:$D$500,MATCH('Beneficiaries (4)'!$B24,Logs!$A$2:$A$500,0)),"")</f>
        <v>8611260392085</v>
      </c>
      <c r="F24" s="73" t="s">
        <v>761</v>
      </c>
      <c r="G24" s="101" t="str">
        <f t="shared" si="0"/>
        <v>F</v>
      </c>
      <c r="H24" s="72" t="s">
        <v>761</v>
      </c>
      <c r="I24" s="72" t="s">
        <v>762</v>
      </c>
      <c r="J24" s="111" t="str">
        <f>IFERROR(INDEX(Logs!$E$2:$E$500,MATCH('Beneficiaries (4)'!$B24,Logs!$A$2:$A$500,0)),"")</f>
        <v>15/05/0007</v>
      </c>
      <c r="K24" s="111" t="str">
        <f>IFERROR(INDEX(Logs!$F$2:$F$500,MATCH('Beneficiaries (4)'!$B24,Logs!$A$2:$A$500,0)),"")</f>
        <v>14/04/0037</v>
      </c>
      <c r="L24" s="111">
        <f>IFERROR(INDEX(Logs!$G$2:$G$500,MATCH('Beneficiaries (4)'!$B24,Logs!$A$2:$A$500,0)),0)</f>
        <v>16</v>
      </c>
      <c r="M24" s="72">
        <v>0</v>
      </c>
      <c r="N24" s="101">
        <f t="shared" si="3"/>
        <v>16</v>
      </c>
      <c r="O24" s="102">
        <f>IFERROR(INDEX(Logs!$H$2:$H$500,MATCH('Beneficiaries (4)'!$B24,Logs!$A$2:$A$500,0)),)</f>
        <v>204.16</v>
      </c>
      <c r="P24" s="103">
        <f t="shared" si="2"/>
        <v>3266.56</v>
      </c>
      <c r="Q24" s="95"/>
    </row>
    <row r="25" spans="1:17" x14ac:dyDescent="0.2">
      <c r="A25" s="100" t="str">
        <f t="shared" si="1"/>
        <v/>
      </c>
      <c r="B25" s="72">
        <v>76</v>
      </c>
      <c r="C25" s="110" t="str">
        <f>IFERROR(INDEX(Logs!$B$2:$B$500,MATCH('Beneficiaries (4)'!$B25,Logs!$A$2:$A$500,0)),"")</f>
        <v>Nomandla</v>
      </c>
      <c r="D25" s="107" t="str">
        <f>IFERROR(INDEX(Logs!$C$2:$C$500,MATCH('Beneficiaries (4)'!$B25,Logs!$A$2:$A$500,0)),"")</f>
        <v>Geca</v>
      </c>
      <c r="E25" s="108" t="str">
        <f>IFERROR(INDEX(Logs!$D$2:$D$500,MATCH('Beneficiaries (4)'!$B25,Logs!$A$2:$A$500,0)),"")</f>
        <v>8211260586081</v>
      </c>
      <c r="F25" s="73" t="s">
        <v>761</v>
      </c>
      <c r="G25" s="101" t="str">
        <f t="shared" si="0"/>
        <v>F</v>
      </c>
      <c r="H25" s="72" t="s">
        <v>761</v>
      </c>
      <c r="I25" s="72" t="s">
        <v>762</v>
      </c>
      <c r="J25" s="111" t="str">
        <f>IFERROR(INDEX(Logs!$E$2:$E$500,MATCH('Beneficiaries (4)'!$B25,Logs!$A$2:$A$500,0)),"")</f>
        <v>15/05/0007</v>
      </c>
      <c r="K25" s="111" t="str">
        <f>IFERROR(INDEX(Logs!$F$2:$F$500,MATCH('Beneficiaries (4)'!$B25,Logs!$A$2:$A$500,0)),"")</f>
        <v>14/04/0037</v>
      </c>
      <c r="L25" s="111">
        <f>IFERROR(INDEX(Logs!$G$2:$G$500,MATCH('Beneficiaries (4)'!$B25,Logs!$A$2:$A$500,0)),0)</f>
        <v>16</v>
      </c>
      <c r="M25" s="72">
        <v>0</v>
      </c>
      <c r="N25" s="101">
        <f t="shared" si="3"/>
        <v>16</v>
      </c>
      <c r="O25" s="102">
        <f>IFERROR(INDEX(Logs!$H$2:$H$500,MATCH('Beneficiaries (4)'!$B25,Logs!$A$2:$A$500,0)),)</f>
        <v>204.16</v>
      </c>
      <c r="P25" s="103">
        <f t="shared" si="2"/>
        <v>3266.56</v>
      </c>
      <c r="Q25" s="95"/>
    </row>
    <row r="26" spans="1:17" x14ac:dyDescent="0.2">
      <c r="A26" s="100" t="str">
        <f t="shared" si="1"/>
        <v/>
      </c>
      <c r="B26" s="72">
        <v>77</v>
      </c>
      <c r="C26" s="110" t="str">
        <f>IFERROR(INDEX(Logs!$B$2:$B$500,MATCH('Beneficiaries (4)'!$B26,Logs!$A$2:$A$500,0)),"")</f>
        <v>lindiwe</v>
      </c>
      <c r="D26" s="107" t="str">
        <f>IFERROR(INDEX(Logs!$C$2:$C$500,MATCH('Beneficiaries (4)'!$B26,Logs!$A$2:$A$500,0)),"")</f>
        <v>Tebekwana</v>
      </c>
      <c r="E26" s="108" t="str">
        <f>IFERROR(INDEX(Logs!$D$2:$D$500,MATCH('Beneficiaries (4)'!$B26,Logs!$A$2:$A$500,0)),"")</f>
        <v>7803070852082</v>
      </c>
      <c r="F26" s="73" t="s">
        <v>761</v>
      </c>
      <c r="G26" s="101" t="str">
        <f t="shared" si="0"/>
        <v>F</v>
      </c>
      <c r="H26" s="72" t="s">
        <v>761</v>
      </c>
      <c r="I26" s="72" t="s">
        <v>762</v>
      </c>
      <c r="J26" s="111" t="str">
        <f>IFERROR(INDEX(Logs!$E$2:$E$500,MATCH('Beneficiaries (4)'!$B26,Logs!$A$2:$A$500,0)),"")</f>
        <v>15/05/0007</v>
      </c>
      <c r="K26" s="111" t="str">
        <f>IFERROR(INDEX(Logs!$F$2:$F$500,MATCH('Beneficiaries (4)'!$B26,Logs!$A$2:$A$500,0)),"")</f>
        <v>14/04/0037</v>
      </c>
      <c r="L26" s="111">
        <f>IFERROR(INDEX(Logs!$G$2:$G$500,MATCH('Beneficiaries (4)'!$B26,Logs!$A$2:$A$500,0)),0)</f>
        <v>16</v>
      </c>
      <c r="M26" s="72">
        <v>0</v>
      </c>
      <c r="N26" s="101">
        <f t="shared" si="3"/>
        <v>16</v>
      </c>
      <c r="O26" s="102">
        <f>IFERROR(INDEX(Logs!$H$2:$H$500,MATCH('Beneficiaries (4)'!$B26,Logs!$A$2:$A$500,0)),)</f>
        <v>204.16</v>
      </c>
      <c r="P26" s="103">
        <f t="shared" si="2"/>
        <v>3266.56</v>
      </c>
      <c r="Q26" s="95"/>
    </row>
    <row r="27" spans="1:17" x14ac:dyDescent="0.2">
      <c r="A27" s="100" t="str">
        <f t="shared" si="1"/>
        <v/>
      </c>
      <c r="B27" s="72">
        <v>78</v>
      </c>
      <c r="C27" s="110" t="str">
        <f>IFERROR(INDEX(Logs!$B$2:$B$500,MATCH('Beneficiaries (4)'!$B27,Logs!$A$2:$A$500,0)),"")</f>
        <v>Nobuhle</v>
      </c>
      <c r="D27" s="107" t="str">
        <f>IFERROR(INDEX(Logs!$C$2:$C$500,MATCH('Beneficiaries (4)'!$B27,Logs!$A$2:$A$500,0)),"")</f>
        <v>Ngqola</v>
      </c>
      <c r="E27" s="108" t="str">
        <f>IFERROR(INDEX(Logs!$D$2:$D$500,MATCH('Beneficiaries (4)'!$B27,Logs!$A$2:$A$500,0)),"")</f>
        <v>6611010805081</v>
      </c>
      <c r="F27" s="73" t="s">
        <v>761</v>
      </c>
      <c r="G27" s="101" t="str">
        <f t="shared" si="0"/>
        <v>F</v>
      </c>
      <c r="H27" s="72" t="s">
        <v>761</v>
      </c>
      <c r="I27" s="72" t="s">
        <v>762</v>
      </c>
      <c r="J27" s="111" t="str">
        <f>IFERROR(INDEX(Logs!$E$2:$E$500,MATCH('Beneficiaries (4)'!$B27,Logs!$A$2:$A$500,0)),"")</f>
        <v>15/05/0007</v>
      </c>
      <c r="K27" s="111" t="str">
        <f>IFERROR(INDEX(Logs!$F$2:$F$500,MATCH('Beneficiaries (4)'!$B27,Logs!$A$2:$A$500,0)),"")</f>
        <v>14/04/0037</v>
      </c>
      <c r="L27" s="111">
        <f>IFERROR(INDEX(Logs!$G$2:$G$500,MATCH('Beneficiaries (4)'!$B27,Logs!$A$2:$A$500,0)),0)</f>
        <v>16</v>
      </c>
      <c r="M27" s="72">
        <v>0</v>
      </c>
      <c r="N27" s="101">
        <f t="shared" si="3"/>
        <v>16</v>
      </c>
      <c r="O27" s="102">
        <f>IFERROR(INDEX(Logs!$H$2:$H$500,MATCH('Beneficiaries (4)'!$B27,Logs!$A$2:$A$500,0)),)</f>
        <v>204.16</v>
      </c>
      <c r="P27" s="103">
        <f t="shared" si="2"/>
        <v>3266.56</v>
      </c>
      <c r="Q27" s="95"/>
    </row>
    <row r="28" spans="1:17" x14ac:dyDescent="0.2">
      <c r="A28" s="100" t="str">
        <f t="shared" si="1"/>
        <v>INVALID ID - Check Digit</v>
      </c>
      <c r="B28" s="72">
        <v>79</v>
      </c>
      <c r="C28" s="110" t="str">
        <f>IFERROR(INDEX(Logs!$B$2:$B$500,MATCH('Beneficiaries (4)'!$B28,Logs!$A$2:$A$500,0)),"")</f>
        <v>Ncediswa</v>
      </c>
      <c r="D28" s="107" t="str">
        <f>IFERROR(INDEX(Logs!$C$2:$C$500,MATCH('Beneficiaries (4)'!$B28,Logs!$A$2:$A$500,0)),"")</f>
        <v>Ndudula</v>
      </c>
      <c r="E28" s="108" t="str">
        <f>IFERROR(INDEX(Logs!$D$2:$D$500,MATCH('Beneficiaries (4)'!$B28,Logs!$A$2:$A$500,0)),"")</f>
        <v>7812240608082</v>
      </c>
      <c r="F28" s="73" t="s">
        <v>761</v>
      </c>
      <c r="G28" s="101" t="str">
        <f t="shared" si="0"/>
        <v>F</v>
      </c>
      <c r="H28" s="72" t="s">
        <v>761</v>
      </c>
      <c r="I28" s="72" t="s">
        <v>762</v>
      </c>
      <c r="J28" s="111" t="str">
        <f>IFERROR(INDEX(Logs!$E$2:$E$500,MATCH('Beneficiaries (4)'!$B28,Logs!$A$2:$A$500,0)),"")</f>
        <v>15/05/0007</v>
      </c>
      <c r="K28" s="111" t="str">
        <f>IFERROR(INDEX(Logs!$F$2:$F$500,MATCH('Beneficiaries (4)'!$B28,Logs!$A$2:$A$500,0)),"")</f>
        <v>14/04/0037</v>
      </c>
      <c r="L28" s="111">
        <f>IFERROR(INDEX(Logs!$G$2:$G$500,MATCH('Beneficiaries (4)'!$B28,Logs!$A$2:$A$500,0)),0)</f>
        <v>16</v>
      </c>
      <c r="M28" s="72">
        <v>0</v>
      </c>
      <c r="N28" s="101">
        <f t="shared" si="3"/>
        <v>16</v>
      </c>
      <c r="O28" s="102">
        <f>IFERROR(INDEX(Logs!$H$2:$H$500,MATCH('Beneficiaries (4)'!$B28,Logs!$A$2:$A$500,0)),)</f>
        <v>204.16</v>
      </c>
      <c r="P28" s="103">
        <f t="shared" si="2"/>
        <v>3266.56</v>
      </c>
      <c r="Q28" s="95"/>
    </row>
    <row r="29" spans="1:17" x14ac:dyDescent="0.2">
      <c r="A29" s="100" t="str">
        <f t="shared" si="1"/>
        <v/>
      </c>
      <c r="B29" s="72">
        <v>80</v>
      </c>
      <c r="C29" s="110" t="str">
        <f>IFERROR(INDEX(Logs!$B$2:$B$500,MATCH('Beneficiaries (4)'!$B29,Logs!$A$2:$A$500,0)),"")</f>
        <v>Noxolo</v>
      </c>
      <c r="D29" s="110" t="str">
        <f>IFERROR(INDEX(Logs!$C$2:$C$500,MATCH('Beneficiaries (4)'!$B29,Logs!$A$2:$A$500,0)),"")</f>
        <v>Joniga</v>
      </c>
      <c r="E29" s="108" t="str">
        <f>IFERROR(INDEX(Logs!$D$2:$D$500,MATCH('Beneficiaries (4)'!$B29,Logs!$A$2:$A$500,0)),"")</f>
        <v>7708310628087</v>
      </c>
      <c r="F29" s="73" t="s">
        <v>761</v>
      </c>
      <c r="G29" s="101" t="str">
        <f t="shared" si="0"/>
        <v>F</v>
      </c>
      <c r="H29" s="72" t="s">
        <v>761</v>
      </c>
      <c r="I29" s="72" t="s">
        <v>762</v>
      </c>
      <c r="J29" s="111" t="str">
        <f>IFERROR(INDEX(Logs!$E$2:$E$500,MATCH('Beneficiaries (4)'!$B29,Logs!$A$2:$A$500,0)),"")</f>
        <v>15/05/0007</v>
      </c>
      <c r="K29" s="111" t="str">
        <f>IFERROR(INDEX(Logs!$F$2:$F$500,MATCH('Beneficiaries (4)'!$B29,Logs!$A$2:$A$500,0)),"")</f>
        <v>14/04/0037</v>
      </c>
      <c r="L29" s="111">
        <f>IFERROR(INDEX(Logs!$G$2:$G$500,MATCH('Beneficiaries (4)'!$B29,Logs!$A$2:$A$500,0)),0)</f>
        <v>16</v>
      </c>
      <c r="M29" s="72">
        <v>0</v>
      </c>
      <c r="N29" s="101">
        <f t="shared" si="3"/>
        <v>16</v>
      </c>
      <c r="O29" s="102">
        <f>IFERROR(INDEX(Logs!$H$2:$H$500,MATCH('Beneficiaries (4)'!$B29,Logs!$A$2:$A$500,0)),)</f>
        <v>204.16</v>
      </c>
      <c r="P29" s="103">
        <f t="shared" si="2"/>
        <v>3266.56</v>
      </c>
      <c r="Q29" s="95"/>
    </row>
    <row r="30" spans="1:17" x14ac:dyDescent="0.2"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104">
        <f>SUM(L10:L29)</f>
        <v>320</v>
      </c>
      <c r="M30" s="104">
        <f>SUM(M10:M29)</f>
        <v>0</v>
      </c>
      <c r="N30" s="104">
        <f>SUM(N10:N29)</f>
        <v>320</v>
      </c>
      <c r="O30" s="105">
        <f>SUM(O10:O29)</f>
        <v>4083.1999999999989</v>
      </c>
      <c r="P30" s="106">
        <f>SUM(P10:P29)</f>
        <v>65331.199999999983</v>
      </c>
      <c r="Q30" s="97"/>
    </row>
    <row r="31" spans="1:17" ht="27" customHeight="1" x14ac:dyDescent="0.2">
      <c r="B31" s="217" t="s">
        <v>98</v>
      </c>
      <c r="C31" s="217"/>
      <c r="D31" s="98" t="s">
        <v>97</v>
      </c>
      <c r="E31" s="218" t="str">
        <f>Project!$G$30</f>
        <v>Benjamin Milandou-Loubeka</v>
      </c>
      <c r="F31" s="218"/>
      <c r="G31" s="218"/>
      <c r="H31" s="219" t="s">
        <v>101</v>
      </c>
      <c r="I31" s="220"/>
      <c r="J31" s="220"/>
      <c r="K31" s="220"/>
      <c r="L31" s="220"/>
      <c r="M31" s="220"/>
      <c r="N31" s="220"/>
      <c r="O31" s="220"/>
      <c r="P31" s="220"/>
      <c r="Q31" s="87"/>
    </row>
    <row r="32" spans="1:17" ht="27" customHeight="1" x14ac:dyDescent="0.2">
      <c r="B32" s="217"/>
      <c r="C32" s="217"/>
      <c r="D32" s="98" t="s">
        <v>100</v>
      </c>
      <c r="E32" s="221">
        <f>Project!$AN$1</f>
        <v>45199</v>
      </c>
      <c r="F32" s="221"/>
      <c r="G32" s="221"/>
      <c r="H32" s="219"/>
      <c r="I32" s="220"/>
      <c r="J32" s="220"/>
      <c r="K32" s="220"/>
      <c r="L32" s="220"/>
      <c r="M32" s="220"/>
      <c r="N32" s="220"/>
      <c r="O32" s="220"/>
      <c r="P32" s="220"/>
      <c r="Q32" s="87"/>
    </row>
    <row r="33" spans="2:17" ht="14.25" customHeight="1" x14ac:dyDescent="0.2">
      <c r="B33" s="88"/>
      <c r="C33" s="88"/>
      <c r="D33" s="99"/>
      <c r="E33" s="87"/>
      <c r="F33" s="87"/>
      <c r="G33" s="87"/>
      <c r="H33" s="81"/>
      <c r="I33" s="87"/>
      <c r="J33" s="87"/>
      <c r="K33" s="87"/>
      <c r="L33" s="87"/>
      <c r="M33" s="87"/>
      <c r="N33" s="87"/>
      <c r="O33" s="87"/>
      <c r="P33" s="87"/>
      <c r="Q33" s="87"/>
    </row>
    <row r="34" spans="2:17" ht="27" customHeight="1" x14ac:dyDescent="0.2">
      <c r="B34" s="217" t="s">
        <v>99</v>
      </c>
      <c r="C34" s="217"/>
      <c r="D34" s="98" t="s">
        <v>97</v>
      </c>
      <c r="E34" s="220"/>
      <c r="F34" s="220"/>
      <c r="G34" s="220"/>
      <c r="H34" s="219" t="s">
        <v>101</v>
      </c>
      <c r="I34" s="220"/>
      <c r="J34" s="220"/>
      <c r="K34" s="220"/>
      <c r="L34" s="220"/>
      <c r="M34" s="220"/>
      <c r="N34" s="220"/>
      <c r="O34" s="220"/>
      <c r="P34" s="220"/>
      <c r="Q34" s="87"/>
    </row>
    <row r="35" spans="2:17" ht="27" customHeight="1" x14ac:dyDescent="0.2">
      <c r="B35" s="217"/>
      <c r="C35" s="217"/>
      <c r="D35" s="98" t="s">
        <v>100</v>
      </c>
      <c r="E35" s="220"/>
      <c r="F35" s="220"/>
      <c r="G35" s="220"/>
      <c r="H35" s="219"/>
      <c r="I35" s="220"/>
      <c r="J35" s="220"/>
      <c r="K35" s="220"/>
      <c r="L35" s="220"/>
      <c r="M35" s="220"/>
      <c r="N35" s="220"/>
      <c r="O35" s="220"/>
      <c r="P35" s="220"/>
      <c r="Q35" s="87"/>
    </row>
    <row r="74" spans="2:2" x14ac:dyDescent="0.2">
      <c r="B74" s="87"/>
    </row>
  </sheetData>
  <sheetProtection algorithmName="SHA-512" hashValue="XmikM31DEOFeQ6SS8Tc7u1PfcTThD5T6sthY8y2XOTT6uCp2GbEqB1WxR7QVzkMbAXeZGhJDku44OhNYweRtCA==" saltValue="yA1Qhkab7piAs+5RKRbDWA==" spinCount="100000" sheet="1" selectLockedCells="1"/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conditionalFormatting sqref="C10:C21">
    <cfRule type="uniqueValues" dxfId="107" priority="9"/>
  </conditionalFormatting>
  <conditionalFormatting sqref="D10:D20">
    <cfRule type="uniqueValues" dxfId="106" priority="8"/>
  </conditionalFormatting>
  <conditionalFormatting sqref="D21:D28">
    <cfRule type="uniqueValues" dxfId="105" priority="7"/>
  </conditionalFormatting>
  <conditionalFormatting sqref="F10:F29">
    <cfRule type="expression" dxfId="104" priority="6">
      <formula>$C10=""</formula>
    </cfRule>
  </conditionalFormatting>
  <conditionalFormatting sqref="H10:I29">
    <cfRule type="expression" dxfId="103" priority="5">
      <formula>$C10=""</formula>
    </cfRule>
  </conditionalFormatting>
  <conditionalFormatting sqref="B10:B29">
    <cfRule type="expression" dxfId="102" priority="4">
      <formula>$C10=""</formula>
    </cfRule>
  </conditionalFormatting>
  <conditionalFormatting sqref="L10:L29">
    <cfRule type="cellIs" dxfId="101" priority="3" operator="equal">
      <formula>0</formula>
    </cfRule>
  </conditionalFormatting>
  <conditionalFormatting sqref="M10:N29">
    <cfRule type="expression" dxfId="100" priority="2">
      <formula>$C10=""</formula>
    </cfRule>
  </conditionalFormatting>
  <conditionalFormatting sqref="O10:P29">
    <cfRule type="expression" dxfId="99" priority="1">
      <formula>$C10=""</formula>
    </cfRule>
  </conditionalFormatting>
  <dataValidations count="1">
    <dataValidation allowBlank="1" showInputMessage="1" showErrorMessage="1" promptTitle="Month" sqref="I6" xr:uid="{73E66FAB-5C00-40BB-B00E-3E6B4B662000}"/>
  </dataValidations>
  <pageMargins left="0.23622047244094491" right="0.23622047244094491" top="0.74803149606299213" bottom="0.74803149606299213" header="0.31496062992125984" footer="0.31496062992125984"/>
  <pageSetup paperSize="9" scale="86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0370-F886-4D61-AD63-B10E564C78FA}">
  <sheetPr codeName="Sheet19">
    <pageSetUpPr fitToPage="1"/>
  </sheetPr>
  <dimension ref="A1:R74"/>
  <sheetViews>
    <sheetView showGridLines="0" zoomScaleNormal="100" workbookViewId="0">
      <selection activeCell="B5" sqref="B5:C6"/>
    </sheetView>
  </sheetViews>
  <sheetFormatPr defaultColWidth="8.85546875" defaultRowHeight="12.75" x14ac:dyDescent="0.2"/>
  <cols>
    <col min="1" max="1" width="20.7109375" style="76" customWidth="1"/>
    <col min="2" max="2" width="4.42578125" style="80" customWidth="1"/>
    <col min="3" max="5" width="24.42578125" style="80" customWidth="1"/>
    <col min="6" max="6" width="10.140625" style="80" customWidth="1"/>
    <col min="7" max="9" width="8.85546875" style="80"/>
    <col min="10" max="11" width="10.140625" style="80" bestFit="1" customWidth="1"/>
    <col min="12" max="15" width="13.7109375" style="80" customWidth="1"/>
    <col min="16" max="17" width="14.5703125" style="80" customWidth="1"/>
    <col min="18" max="18" width="8.85546875" style="150"/>
    <col min="19" max="16384" width="8.85546875" style="80"/>
  </cols>
  <sheetData>
    <row r="1" spans="1:18" ht="15.75" x14ac:dyDescent="0.25">
      <c r="B1" s="77" t="s">
        <v>44</v>
      </c>
      <c r="C1" s="78"/>
      <c r="D1" s="78"/>
      <c r="E1" s="79" t="s">
        <v>1</v>
      </c>
      <c r="G1" s="78"/>
      <c r="H1" s="78"/>
      <c r="I1" s="78"/>
      <c r="R1" s="114">
        <f>IF(Beneficiaries!$P$30&gt;0,1,"")</f>
        <v>1</v>
      </c>
    </row>
    <row r="2" spans="1:18" ht="15.75" x14ac:dyDescent="0.25"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114">
        <f>IF('Beneficiaries (2)'!$P$30&gt;0,1,"")</f>
        <v>1</v>
      </c>
    </row>
    <row r="3" spans="1:18" x14ac:dyDescent="0.2">
      <c r="B3" s="210" t="s">
        <v>28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81"/>
      <c r="R3" s="114">
        <f>IF('Beneficiaries (3)'!$P$30&gt;0,1,"")</f>
        <v>1</v>
      </c>
    </row>
    <row r="4" spans="1:18" x14ac:dyDescent="0.2">
      <c r="C4" s="77"/>
      <c r="D4" s="77"/>
      <c r="E4" s="77"/>
      <c r="F4" s="77"/>
      <c r="G4" s="77"/>
      <c r="R4" s="114">
        <f>IF('Beneficiaries (4)'!$P$30&gt;0,1,"")</f>
        <v>1</v>
      </c>
    </row>
    <row r="5" spans="1:18" ht="12.75" customHeight="1" x14ac:dyDescent="0.2">
      <c r="B5" s="211" t="s">
        <v>12</v>
      </c>
      <c r="C5" s="212"/>
      <c r="D5" s="215" t="str">
        <f>Project!$Z$25</f>
        <v>WSDS/24/111i</v>
      </c>
      <c r="E5" s="215"/>
      <c r="F5" s="82"/>
      <c r="H5" s="83" t="s">
        <v>80</v>
      </c>
      <c r="I5" s="83" t="s">
        <v>81</v>
      </c>
      <c r="J5" s="77"/>
      <c r="K5" s="216" t="s">
        <v>78</v>
      </c>
      <c r="L5" s="216"/>
      <c r="M5" s="216"/>
      <c r="N5" s="85"/>
      <c r="O5" s="85"/>
      <c r="P5" s="77"/>
      <c r="Q5" s="77"/>
      <c r="R5" s="114">
        <f>IF('Beneficiaries (5)'!$P$30&gt;0,1,"")</f>
        <v>1</v>
      </c>
    </row>
    <row r="6" spans="1:18" x14ac:dyDescent="0.2">
      <c r="B6" s="213"/>
      <c r="C6" s="214"/>
      <c r="D6" s="215"/>
      <c r="E6" s="215"/>
      <c r="F6" s="82"/>
      <c r="H6" s="112" t="str">
        <f>TEXT(Project!$AN$1,"YYYY")</f>
        <v>2023</v>
      </c>
      <c r="I6" s="112" t="str">
        <f>TEXT(Project!$AN$1,"MMMM")</f>
        <v>September</v>
      </c>
      <c r="J6" s="86"/>
      <c r="K6" s="57">
        <v>1</v>
      </c>
      <c r="L6" s="84" t="s">
        <v>79</v>
      </c>
      <c r="M6" s="113">
        <f>IF(K6&gt;0,COUNT(R1:R20),"")</f>
        <v>14</v>
      </c>
      <c r="N6" s="85"/>
      <c r="O6" s="85"/>
      <c r="P6" s="87"/>
      <c r="Q6" s="87"/>
      <c r="R6" s="114">
        <f>IF('Beneficiaries (6)'!$P$30&gt;0,1,"")</f>
        <v>1</v>
      </c>
    </row>
    <row r="7" spans="1:18" x14ac:dyDescent="0.2">
      <c r="B7" s="88"/>
      <c r="C7" s="88"/>
      <c r="D7" s="88"/>
      <c r="E7" s="87"/>
      <c r="F7" s="87"/>
      <c r="H7" s="86"/>
      <c r="I7" s="86"/>
      <c r="J7" s="86"/>
      <c r="K7" s="87"/>
      <c r="L7" s="85"/>
      <c r="M7" s="85"/>
      <c r="N7" s="85"/>
      <c r="O7" s="85"/>
      <c r="P7" s="87"/>
      <c r="Q7" s="87"/>
      <c r="R7" s="114">
        <f>IF('Beneficiaries (7)'!$P$30&gt;0,1,"")</f>
        <v>1</v>
      </c>
    </row>
    <row r="8" spans="1:18" x14ac:dyDescent="0.2">
      <c r="B8" s="89"/>
      <c r="C8" s="90" t="s">
        <v>34</v>
      </c>
      <c r="D8" s="90" t="s">
        <v>34</v>
      </c>
      <c r="E8" s="90" t="s">
        <v>34</v>
      </c>
      <c r="F8" s="90" t="s">
        <v>35</v>
      </c>
      <c r="G8" s="89"/>
      <c r="H8" s="89"/>
      <c r="I8" s="90" t="s">
        <v>36</v>
      </c>
      <c r="J8" s="89"/>
      <c r="K8" s="90" t="s">
        <v>37</v>
      </c>
      <c r="L8" s="90" t="s">
        <v>38</v>
      </c>
      <c r="M8" s="90" t="s">
        <v>42</v>
      </c>
      <c r="N8" s="90"/>
      <c r="O8" s="90" t="s">
        <v>104</v>
      </c>
      <c r="P8" s="90"/>
      <c r="Q8" s="91"/>
      <c r="R8" s="114">
        <f>IF('Beneficiaries (8)'!$P$30&gt;0,1,"")</f>
        <v>1</v>
      </c>
    </row>
    <row r="9" spans="1:18" ht="45" x14ac:dyDescent="0.2">
      <c r="B9" s="92" t="s">
        <v>29</v>
      </c>
      <c r="C9" s="92" t="s">
        <v>30</v>
      </c>
      <c r="D9" s="92" t="s">
        <v>31</v>
      </c>
      <c r="E9" s="92" t="s">
        <v>32</v>
      </c>
      <c r="F9" s="93" t="s">
        <v>96</v>
      </c>
      <c r="G9" s="93" t="s">
        <v>33</v>
      </c>
      <c r="H9" s="93" t="s">
        <v>76</v>
      </c>
      <c r="I9" s="93" t="s">
        <v>77</v>
      </c>
      <c r="J9" s="93" t="s">
        <v>95</v>
      </c>
      <c r="K9" s="93" t="s">
        <v>94</v>
      </c>
      <c r="L9" s="93" t="s">
        <v>41</v>
      </c>
      <c r="M9" s="93" t="s">
        <v>103</v>
      </c>
      <c r="N9" s="93" t="s">
        <v>116</v>
      </c>
      <c r="O9" s="93" t="s">
        <v>102</v>
      </c>
      <c r="P9" s="93" t="s">
        <v>117</v>
      </c>
      <c r="Q9" s="94"/>
      <c r="R9" s="114">
        <f>IF('Beneficiaries (9)'!$P$30&gt;0,1,"")</f>
        <v>1</v>
      </c>
    </row>
    <row r="10" spans="1:18" x14ac:dyDescent="0.2">
      <c r="A10" s="100" t="str">
        <f>ID_Valid(E10)</f>
        <v/>
      </c>
      <c r="B10" s="72">
        <v>81</v>
      </c>
      <c r="C10" s="107" t="str">
        <f>IFERROR(INDEX(Logs!$B$2:$B$500,MATCH('Beneficiaries (5)'!$B10,Logs!$A$2:$A$500,0)),"")</f>
        <v>Patricia</v>
      </c>
      <c r="D10" s="107" t="str">
        <f>IFERROR(INDEX(Logs!$C$2:$C$500,MATCH('Beneficiaries (5)'!$B10,Logs!$A$2:$A$500,0)),"")</f>
        <v>Boniswa</v>
      </c>
      <c r="E10" s="108" t="str">
        <f>IFERROR(INDEX(Logs!$D$2:$D$500,MATCH('Beneficiaries (5)'!$B10,Logs!$A$2:$A$500,0)),"")</f>
        <v>8104140378086</v>
      </c>
      <c r="F10" s="73" t="s">
        <v>761</v>
      </c>
      <c r="G10" s="101" t="str">
        <f t="shared" ref="G10:G29" si="0">TheGender(E10)</f>
        <v>F</v>
      </c>
      <c r="H10" s="72" t="s">
        <v>761</v>
      </c>
      <c r="I10" s="74" t="s">
        <v>762</v>
      </c>
      <c r="J10" s="110" t="str">
        <f>IFERROR(INDEX(Logs!$E$2:$E$500,MATCH('Beneficiaries (5)'!$B10,Logs!$A$2:$A$500,0)),"")</f>
        <v>15/05/0007</v>
      </c>
      <c r="K10" s="110" t="str">
        <f>IFERROR(INDEX(Logs!$F$2:$F$500,MATCH('Beneficiaries (5)'!$B10,Logs!$A$2:$A$500,0)),"")</f>
        <v>14/04/0037</v>
      </c>
      <c r="L10" s="111">
        <f>IFERROR(INDEX(Logs!$G$2:$G$500,MATCH('Beneficiaries (5)'!$B10,Logs!$A$2:$A$500,0)),0)</f>
        <v>16</v>
      </c>
      <c r="M10" s="72">
        <v>0</v>
      </c>
      <c r="N10" s="101">
        <f>M10+L10</f>
        <v>16</v>
      </c>
      <c r="O10" s="102">
        <f>IFERROR(INDEX(Logs!$H$2:$H$500,MATCH('Beneficiaries (5)'!$B10,Logs!$A$2:$A$500,0)),)</f>
        <v>204.16</v>
      </c>
      <c r="P10" s="103">
        <f>IFERROR(N10*O10,0)</f>
        <v>3266.56</v>
      </c>
      <c r="Q10" s="95"/>
      <c r="R10" s="114">
        <f>IF('Beneficiaries (10)'!$P$30&gt;0,1,"")</f>
        <v>1</v>
      </c>
    </row>
    <row r="11" spans="1:18" x14ac:dyDescent="0.2">
      <c r="A11" s="100" t="str">
        <f t="shared" ref="A11:A29" si="1">ID_Valid(E11)</f>
        <v/>
      </c>
      <c r="B11" s="72">
        <v>82</v>
      </c>
      <c r="C11" s="107" t="str">
        <f>IFERROR(INDEX(Logs!$B$2:$B$500,MATCH('Beneficiaries (5)'!$B11,Logs!$A$2:$A$500,0)),"")</f>
        <v>Noluthando</v>
      </c>
      <c r="D11" s="107" t="str">
        <f>IFERROR(INDEX(Logs!$C$2:$C$500,MATCH('Beneficiaries (5)'!$B11,Logs!$A$2:$A$500,0)),"")</f>
        <v>Xakuvana</v>
      </c>
      <c r="E11" s="108" t="str">
        <f>IFERROR(INDEX(Logs!$D$2:$D$500,MATCH('Beneficiaries (5)'!$B11,Logs!$A$2:$A$500,0)),"")</f>
        <v>7510070545083</v>
      </c>
      <c r="F11" s="73" t="s">
        <v>761</v>
      </c>
      <c r="G11" s="101" t="str">
        <f t="shared" si="0"/>
        <v>F</v>
      </c>
      <c r="H11" s="72" t="s">
        <v>761</v>
      </c>
      <c r="I11" s="72" t="s">
        <v>762</v>
      </c>
      <c r="J11" s="111" t="str">
        <f>IFERROR(INDEX(Logs!$E$2:$E$500,MATCH('Beneficiaries (5)'!$B11,Logs!$A$2:$A$500,0)),"")</f>
        <v>15/05/0007</v>
      </c>
      <c r="K11" s="111" t="str">
        <f>IFERROR(INDEX(Logs!$F$2:$F$500,MATCH('Beneficiaries (5)'!$B11,Logs!$A$2:$A$500,0)),"")</f>
        <v>14/04/0037</v>
      </c>
      <c r="L11" s="111">
        <f>IFERROR(INDEX(Logs!$G$2:$G$500,MATCH('Beneficiaries (5)'!$B11,Logs!$A$2:$A$500,0)),0)</f>
        <v>16</v>
      </c>
      <c r="M11" s="72">
        <v>0</v>
      </c>
      <c r="N11" s="101">
        <f>L11+M11</f>
        <v>16</v>
      </c>
      <c r="O11" s="102">
        <f>IFERROR(INDEX(Logs!$H$2:$H$500,MATCH('Beneficiaries (5)'!$B11,Logs!$A$2:$A$500,0)),)</f>
        <v>204.16</v>
      </c>
      <c r="P11" s="103">
        <f t="shared" ref="P11:P29" si="2">IFERROR(N11*O11,0)</f>
        <v>3266.56</v>
      </c>
      <c r="Q11" s="95"/>
      <c r="R11" s="114">
        <f>IF('Beneficiaries (11)'!$P$30&gt;0,1,"")</f>
        <v>1</v>
      </c>
    </row>
    <row r="12" spans="1:18" x14ac:dyDescent="0.2">
      <c r="A12" s="100" t="str">
        <f t="shared" si="1"/>
        <v/>
      </c>
      <c r="B12" s="72">
        <v>83</v>
      </c>
      <c r="C12" s="107" t="str">
        <f>IFERROR(INDEX(Logs!$B$2:$B$500,MATCH('Beneficiaries (5)'!$B12,Logs!$A$2:$A$500,0)),"")</f>
        <v>Nomfusi</v>
      </c>
      <c r="D12" s="107" t="str">
        <f>IFERROR(INDEX(Logs!$C$2:$C$500,MATCH('Beneficiaries (5)'!$B12,Logs!$A$2:$A$500,0)),"")</f>
        <v>Mandla</v>
      </c>
      <c r="E12" s="108" t="str">
        <f>IFERROR(INDEX(Logs!$D$2:$D$500,MATCH('Beneficiaries (5)'!$B12,Logs!$A$2:$A$500,0)),"")</f>
        <v>8708141181081</v>
      </c>
      <c r="F12" s="73" t="s">
        <v>761</v>
      </c>
      <c r="G12" s="101" t="str">
        <f t="shared" si="0"/>
        <v>F</v>
      </c>
      <c r="H12" s="72" t="s">
        <v>761</v>
      </c>
      <c r="I12" s="72" t="s">
        <v>762</v>
      </c>
      <c r="J12" s="111" t="str">
        <f>IFERROR(INDEX(Logs!$E$2:$E$500,MATCH('Beneficiaries (5)'!$B12,Logs!$A$2:$A$500,0)),"")</f>
        <v>15/05/0007</v>
      </c>
      <c r="K12" s="111" t="str">
        <f>IFERROR(INDEX(Logs!$F$2:$F$500,MATCH('Beneficiaries (5)'!$B12,Logs!$A$2:$A$500,0)),"")</f>
        <v>14/04/0037</v>
      </c>
      <c r="L12" s="111">
        <f>IFERROR(INDEX(Logs!$G$2:$G$500,MATCH('Beneficiaries (5)'!$B12,Logs!$A$2:$A$500,0)),0)</f>
        <v>16</v>
      </c>
      <c r="M12" s="72">
        <v>0</v>
      </c>
      <c r="N12" s="101">
        <f t="shared" ref="N12:N29" si="3">L12+M12</f>
        <v>16</v>
      </c>
      <c r="O12" s="102">
        <f>IFERROR(INDEX(Logs!$H$2:$H$500,MATCH('Beneficiaries (5)'!$B12,Logs!$A$2:$A$500,0)),)</f>
        <v>204.16</v>
      </c>
      <c r="P12" s="103">
        <f t="shared" si="2"/>
        <v>3266.56</v>
      </c>
      <c r="Q12" s="95"/>
      <c r="R12" s="114">
        <f>IF('Beneficiaries (12)'!$P$30&gt;0,1,"")</f>
        <v>1</v>
      </c>
    </row>
    <row r="13" spans="1:18" x14ac:dyDescent="0.2">
      <c r="A13" s="100" t="str">
        <f t="shared" si="1"/>
        <v/>
      </c>
      <c r="B13" s="72">
        <v>84</v>
      </c>
      <c r="C13" s="107" t="str">
        <f>IFERROR(INDEX(Logs!$B$2:$B$500,MATCH('Beneficiaries (5)'!$B13,Logs!$A$2:$A$500,0)),"")</f>
        <v>Marianne</v>
      </c>
      <c r="D13" s="107" t="str">
        <f>IFERROR(INDEX(Logs!$C$2:$C$500,MATCH('Beneficiaries (5)'!$B13,Logs!$A$2:$A$500,0)),"")</f>
        <v>Jakobs</v>
      </c>
      <c r="E13" s="108" t="str">
        <f>IFERROR(INDEX(Logs!$D$2:$D$500,MATCH('Beneficiaries (5)'!$B13,Logs!$A$2:$A$500,0)),"")</f>
        <v>8712010125088</v>
      </c>
      <c r="F13" s="73" t="s">
        <v>761</v>
      </c>
      <c r="G13" s="101" t="str">
        <f t="shared" si="0"/>
        <v>F</v>
      </c>
      <c r="H13" s="72" t="s">
        <v>761</v>
      </c>
      <c r="I13" s="72" t="s">
        <v>762</v>
      </c>
      <c r="J13" s="111" t="str">
        <f>IFERROR(INDEX(Logs!$E$2:$E$500,MATCH('Beneficiaries (5)'!$B13,Logs!$A$2:$A$500,0)),"")</f>
        <v>15/05/0007</v>
      </c>
      <c r="K13" s="111" t="str">
        <f>IFERROR(INDEX(Logs!$F$2:$F$500,MATCH('Beneficiaries (5)'!$B13,Logs!$A$2:$A$500,0)),"")</f>
        <v>14/04/0037</v>
      </c>
      <c r="L13" s="111">
        <f>IFERROR(INDEX(Logs!$G$2:$G$500,MATCH('Beneficiaries (5)'!$B13,Logs!$A$2:$A$500,0)),0)</f>
        <v>22</v>
      </c>
      <c r="M13" s="72">
        <v>0</v>
      </c>
      <c r="N13" s="101">
        <f t="shared" si="3"/>
        <v>22</v>
      </c>
      <c r="O13" s="102">
        <f>IFERROR(INDEX(Logs!$H$2:$H$500,MATCH('Beneficiaries (5)'!$B13,Logs!$A$2:$A$500,0)),)</f>
        <v>204.16</v>
      </c>
      <c r="P13" s="103">
        <f t="shared" si="2"/>
        <v>4491.5199999999995</v>
      </c>
      <c r="Q13" s="95"/>
      <c r="R13" s="114">
        <f>IF('Beneficiaries (13)'!$P$30&gt;0,1,"")</f>
        <v>1</v>
      </c>
    </row>
    <row r="14" spans="1:18" x14ac:dyDescent="0.2">
      <c r="A14" s="100" t="str">
        <f t="shared" si="1"/>
        <v/>
      </c>
      <c r="B14" s="72">
        <v>85</v>
      </c>
      <c r="C14" s="107" t="str">
        <f>IFERROR(INDEX(Logs!$B$2:$B$500,MATCH('Beneficiaries (5)'!$B14,Logs!$A$2:$A$500,0)),"")</f>
        <v>Nompucuko</v>
      </c>
      <c r="D14" s="107" t="str">
        <f>IFERROR(INDEX(Logs!$C$2:$C$500,MATCH('Beneficiaries (5)'!$B14,Logs!$A$2:$A$500,0)),"")</f>
        <v>Mbango</v>
      </c>
      <c r="E14" s="108" t="str">
        <f>IFERROR(INDEX(Logs!$D$2:$D$500,MATCH('Beneficiaries (5)'!$B14,Logs!$A$2:$A$500,0)),"")</f>
        <v>7812060928083</v>
      </c>
      <c r="F14" s="73" t="s">
        <v>761</v>
      </c>
      <c r="G14" s="101" t="str">
        <f t="shared" si="0"/>
        <v>F</v>
      </c>
      <c r="H14" s="72" t="s">
        <v>761</v>
      </c>
      <c r="I14" s="72" t="s">
        <v>762</v>
      </c>
      <c r="J14" s="111" t="str">
        <f>IFERROR(INDEX(Logs!$E$2:$E$500,MATCH('Beneficiaries (5)'!$B14,Logs!$A$2:$A$500,0)),"")</f>
        <v>15/05/0007</v>
      </c>
      <c r="K14" s="111" t="str">
        <f>IFERROR(INDEX(Logs!$F$2:$F$500,MATCH('Beneficiaries (5)'!$B14,Logs!$A$2:$A$500,0)),"")</f>
        <v>14/04/0037</v>
      </c>
      <c r="L14" s="111">
        <f>IFERROR(INDEX(Logs!$G$2:$G$500,MATCH('Beneficiaries (5)'!$B14,Logs!$A$2:$A$500,0)),0)</f>
        <v>22</v>
      </c>
      <c r="M14" s="72">
        <v>0</v>
      </c>
      <c r="N14" s="101">
        <f t="shared" si="3"/>
        <v>22</v>
      </c>
      <c r="O14" s="102">
        <f>IFERROR(INDEX(Logs!$H$2:$H$500,MATCH('Beneficiaries (5)'!$B14,Logs!$A$2:$A$500,0)),)</f>
        <v>204.16</v>
      </c>
      <c r="P14" s="103">
        <f t="shared" si="2"/>
        <v>4491.5199999999995</v>
      </c>
      <c r="Q14" s="95"/>
      <c r="R14" s="114">
        <f>IF('Beneficiaries (14)'!$P$30&gt;0,1,"")</f>
        <v>1</v>
      </c>
    </row>
    <row r="15" spans="1:18" x14ac:dyDescent="0.2">
      <c r="A15" s="100" t="str">
        <f t="shared" si="1"/>
        <v/>
      </c>
      <c r="B15" s="72">
        <v>86</v>
      </c>
      <c r="C15" s="107" t="str">
        <f>IFERROR(INDEX(Logs!$B$2:$B$500,MATCH('Beneficiaries (5)'!$B15,Logs!$A$2:$A$500,0)),"")</f>
        <v>Theresa</v>
      </c>
      <c r="D15" s="107" t="str">
        <f>IFERROR(INDEX(Logs!$C$2:$C$500,MATCH('Beneficiaries (5)'!$B15,Logs!$A$2:$A$500,0)),"")</f>
        <v>Pietersen</v>
      </c>
      <c r="E15" s="108" t="str">
        <f>IFERROR(INDEX(Logs!$D$2:$D$500,MATCH('Beneficiaries (5)'!$B15,Logs!$A$2:$A$500,0)),"")</f>
        <v>8709260437080</v>
      </c>
      <c r="F15" s="73" t="s">
        <v>761</v>
      </c>
      <c r="G15" s="101" t="str">
        <f t="shared" si="0"/>
        <v>F</v>
      </c>
      <c r="H15" s="72" t="s">
        <v>761</v>
      </c>
      <c r="I15" s="72" t="s">
        <v>762</v>
      </c>
      <c r="J15" s="111" t="str">
        <f>IFERROR(INDEX(Logs!$E$2:$E$500,MATCH('Beneficiaries (5)'!$B15,Logs!$A$2:$A$500,0)),"")</f>
        <v>15/05/0007</v>
      </c>
      <c r="K15" s="111" t="str">
        <f>IFERROR(INDEX(Logs!$F$2:$F$500,MATCH('Beneficiaries (5)'!$B15,Logs!$A$2:$A$500,0)),"")</f>
        <v>14/04/0037</v>
      </c>
      <c r="L15" s="111">
        <f>IFERROR(INDEX(Logs!$G$2:$G$500,MATCH('Beneficiaries (5)'!$B15,Logs!$A$2:$A$500,0)),0)</f>
        <v>22</v>
      </c>
      <c r="M15" s="72">
        <v>0</v>
      </c>
      <c r="N15" s="101">
        <f t="shared" si="3"/>
        <v>22</v>
      </c>
      <c r="O15" s="102">
        <f>IFERROR(INDEX(Logs!$H$2:$H$500,MATCH('Beneficiaries (5)'!$B15,Logs!$A$2:$A$500,0)),)</f>
        <v>204.16</v>
      </c>
      <c r="P15" s="103">
        <f t="shared" si="2"/>
        <v>4491.5199999999995</v>
      </c>
      <c r="Q15" s="95"/>
      <c r="R15" s="115"/>
    </row>
    <row r="16" spans="1:18" x14ac:dyDescent="0.2">
      <c r="A16" s="100" t="str">
        <f t="shared" si="1"/>
        <v/>
      </c>
      <c r="B16" s="72">
        <v>87</v>
      </c>
      <c r="C16" s="107" t="str">
        <f>IFERROR(INDEX(Logs!$B$2:$B$500,MATCH('Beneficiaries (5)'!$B16,Logs!$A$2:$A$500,0)),"")</f>
        <v>Nokulunga</v>
      </c>
      <c r="D16" s="107" t="str">
        <f>IFERROR(INDEX(Logs!$C$2:$C$500,MATCH('Beneficiaries (5)'!$B16,Logs!$A$2:$A$500,0)),"")</f>
        <v>Madanda</v>
      </c>
      <c r="E16" s="108" t="str">
        <f>IFERROR(INDEX(Logs!$D$2:$D$500,MATCH('Beneficiaries (5)'!$B16,Logs!$A$2:$A$500,0)),"")</f>
        <v>8901231034084</v>
      </c>
      <c r="F16" s="73" t="s">
        <v>761</v>
      </c>
      <c r="G16" s="101" t="str">
        <f t="shared" si="0"/>
        <v>F</v>
      </c>
      <c r="H16" s="72" t="s">
        <v>761</v>
      </c>
      <c r="I16" s="72" t="s">
        <v>762</v>
      </c>
      <c r="J16" s="111" t="str">
        <f>IFERROR(INDEX(Logs!$E$2:$E$500,MATCH('Beneficiaries (5)'!$B16,Logs!$A$2:$A$500,0)),"")</f>
        <v>15/05/0007</v>
      </c>
      <c r="K16" s="111" t="str">
        <f>IFERROR(INDEX(Logs!$F$2:$F$500,MATCH('Beneficiaries (5)'!$B16,Logs!$A$2:$A$500,0)),"")</f>
        <v>14/04/0037</v>
      </c>
      <c r="L16" s="111">
        <f>IFERROR(INDEX(Logs!$G$2:$G$500,MATCH('Beneficiaries (5)'!$B16,Logs!$A$2:$A$500,0)),0)</f>
        <v>17</v>
      </c>
      <c r="M16" s="72">
        <v>0</v>
      </c>
      <c r="N16" s="101">
        <f t="shared" si="3"/>
        <v>17</v>
      </c>
      <c r="O16" s="102">
        <f>IFERROR(INDEX(Logs!$H$2:$H$500,MATCH('Beneficiaries (5)'!$B16,Logs!$A$2:$A$500,0)),)</f>
        <v>204.16</v>
      </c>
      <c r="P16" s="103">
        <f t="shared" si="2"/>
        <v>3470.72</v>
      </c>
      <c r="Q16" s="95"/>
      <c r="R16" s="115"/>
    </row>
    <row r="17" spans="1:17" x14ac:dyDescent="0.2">
      <c r="A17" s="100" t="str">
        <f t="shared" si="1"/>
        <v/>
      </c>
      <c r="B17" s="72">
        <v>88</v>
      </c>
      <c r="C17" s="107" t="str">
        <f>IFERROR(INDEX(Logs!$B$2:$B$500,MATCH('Beneficiaries (5)'!$B17,Logs!$A$2:$A$500,0)),"")</f>
        <v>Kholiswa</v>
      </c>
      <c r="D17" s="107" t="str">
        <f>IFERROR(INDEX(Logs!$C$2:$C$500,MATCH('Beneficiaries (5)'!$B17,Logs!$A$2:$A$500,0)),"")</f>
        <v>Tsotsa</v>
      </c>
      <c r="E17" s="108" t="str">
        <f>IFERROR(INDEX(Logs!$D$2:$D$500,MATCH('Beneficiaries (5)'!$B17,Logs!$A$2:$A$500,0)),"")</f>
        <v>7206150957088</v>
      </c>
      <c r="F17" s="73" t="s">
        <v>761</v>
      </c>
      <c r="G17" s="101" t="str">
        <f t="shared" si="0"/>
        <v>F</v>
      </c>
      <c r="H17" s="72" t="s">
        <v>761</v>
      </c>
      <c r="I17" s="72" t="s">
        <v>762</v>
      </c>
      <c r="J17" s="111" t="str">
        <f>IFERROR(INDEX(Logs!$E$2:$E$500,MATCH('Beneficiaries (5)'!$B17,Logs!$A$2:$A$500,0)),"")</f>
        <v>14/05/0009</v>
      </c>
      <c r="K17" s="111" t="str">
        <f>IFERROR(INDEX(Logs!$F$2:$F$500,MATCH('Beneficiaries (5)'!$B17,Logs!$A$2:$A$500,0)),"")</f>
        <v>15/05/0036</v>
      </c>
      <c r="L17" s="111">
        <f>IFERROR(INDEX(Logs!$G$2:$G$500,MATCH('Beneficiaries (5)'!$B17,Logs!$A$2:$A$500,0)),0)</f>
        <v>22</v>
      </c>
      <c r="M17" s="72">
        <v>0</v>
      </c>
      <c r="N17" s="101">
        <f t="shared" si="3"/>
        <v>22</v>
      </c>
      <c r="O17" s="102">
        <f>IFERROR(INDEX(Logs!$H$2:$H$500,MATCH('Beneficiaries (5)'!$B17,Logs!$A$2:$A$500,0)),)</f>
        <v>204.16</v>
      </c>
      <c r="P17" s="103">
        <f t="shared" si="2"/>
        <v>4491.5199999999995</v>
      </c>
      <c r="Q17" s="95"/>
    </row>
    <row r="18" spans="1:17" x14ac:dyDescent="0.2">
      <c r="A18" s="100" t="str">
        <f t="shared" si="1"/>
        <v/>
      </c>
      <c r="B18" s="72">
        <v>89</v>
      </c>
      <c r="C18" s="107" t="str">
        <f>IFERROR(INDEX(Logs!$B$2:$B$500,MATCH('Beneficiaries (5)'!$B18,Logs!$A$2:$A$500,0)),"")</f>
        <v>Xolelwa</v>
      </c>
      <c r="D18" s="107" t="str">
        <f>IFERROR(INDEX(Logs!$C$2:$C$500,MATCH('Beneficiaries (5)'!$B18,Logs!$A$2:$A$500,0)),"")</f>
        <v>Khambi</v>
      </c>
      <c r="E18" s="108" t="str">
        <f>IFERROR(INDEX(Logs!$D$2:$D$500,MATCH('Beneficiaries (5)'!$B18,Logs!$A$2:$A$500,0)),"")</f>
        <v>7309170760084</v>
      </c>
      <c r="F18" s="73" t="s">
        <v>761</v>
      </c>
      <c r="G18" s="101" t="str">
        <f t="shared" si="0"/>
        <v>F</v>
      </c>
      <c r="H18" s="72" t="s">
        <v>761</v>
      </c>
      <c r="I18" s="72" t="s">
        <v>762</v>
      </c>
      <c r="J18" s="111" t="str">
        <f>IFERROR(INDEX(Logs!$E$2:$E$500,MATCH('Beneficiaries (5)'!$B18,Logs!$A$2:$A$500,0)),"")</f>
        <v>14/05/0009</v>
      </c>
      <c r="K18" s="111" t="str">
        <f>IFERROR(INDEX(Logs!$F$2:$F$500,MATCH('Beneficiaries (5)'!$B18,Logs!$A$2:$A$500,0)),"")</f>
        <v>15/05/0036</v>
      </c>
      <c r="L18" s="111">
        <f>IFERROR(INDEX(Logs!$G$2:$G$500,MATCH('Beneficiaries (5)'!$B18,Logs!$A$2:$A$500,0)),0)</f>
        <v>22</v>
      </c>
      <c r="M18" s="72">
        <v>0</v>
      </c>
      <c r="N18" s="101">
        <f t="shared" si="3"/>
        <v>22</v>
      </c>
      <c r="O18" s="102">
        <f>IFERROR(INDEX(Logs!$H$2:$H$500,MATCH('Beneficiaries (5)'!$B18,Logs!$A$2:$A$500,0)),)</f>
        <v>204.16</v>
      </c>
      <c r="P18" s="103">
        <f t="shared" si="2"/>
        <v>4491.5199999999995</v>
      </c>
      <c r="Q18" s="95"/>
    </row>
    <row r="19" spans="1:17" x14ac:dyDescent="0.2">
      <c r="A19" s="100" t="str">
        <f t="shared" si="1"/>
        <v/>
      </c>
      <c r="B19" s="72">
        <v>90</v>
      </c>
      <c r="C19" s="107" t="str">
        <f>IFERROR(INDEX(Logs!$B$2:$B$500,MATCH('Beneficiaries (5)'!$B19,Logs!$A$2:$A$500,0)),"")</f>
        <v>Ntomboxolo</v>
      </c>
      <c r="D19" s="107" t="str">
        <f>IFERROR(INDEX(Logs!$C$2:$C$500,MATCH('Beneficiaries (5)'!$B19,Logs!$A$2:$A$500,0)),"")</f>
        <v>Mthathelwa</v>
      </c>
      <c r="E19" s="108" t="str">
        <f>IFERROR(INDEX(Logs!$D$2:$D$500,MATCH('Beneficiaries (5)'!$B19,Logs!$A$2:$A$500,0)),"")</f>
        <v>8406041387086</v>
      </c>
      <c r="F19" s="73" t="s">
        <v>761</v>
      </c>
      <c r="G19" s="101" t="str">
        <f t="shared" si="0"/>
        <v>F</v>
      </c>
      <c r="H19" s="72" t="s">
        <v>761</v>
      </c>
      <c r="I19" s="72" t="s">
        <v>762</v>
      </c>
      <c r="J19" s="111" t="str">
        <f>IFERROR(INDEX(Logs!$E$2:$E$500,MATCH('Beneficiaries (5)'!$B19,Logs!$A$2:$A$500,0)),"")</f>
        <v>14/05/0009</v>
      </c>
      <c r="K19" s="111" t="str">
        <f>IFERROR(INDEX(Logs!$F$2:$F$500,MATCH('Beneficiaries (5)'!$B19,Logs!$A$2:$A$500,0)),"")</f>
        <v>15/05/0036</v>
      </c>
      <c r="L19" s="111">
        <f>IFERROR(INDEX(Logs!$G$2:$G$500,MATCH('Beneficiaries (5)'!$B19,Logs!$A$2:$A$500,0)),0)</f>
        <v>22</v>
      </c>
      <c r="M19" s="72">
        <v>0</v>
      </c>
      <c r="N19" s="101">
        <f t="shared" si="3"/>
        <v>22</v>
      </c>
      <c r="O19" s="102">
        <f>IFERROR(INDEX(Logs!$H$2:$H$500,MATCH('Beneficiaries (5)'!$B19,Logs!$A$2:$A$500,0)),)</f>
        <v>204.16</v>
      </c>
      <c r="P19" s="103">
        <f t="shared" si="2"/>
        <v>4491.5199999999995</v>
      </c>
      <c r="Q19" s="95"/>
    </row>
    <row r="20" spans="1:17" x14ac:dyDescent="0.2">
      <c r="A20" s="100" t="str">
        <f t="shared" si="1"/>
        <v/>
      </c>
      <c r="B20" s="72">
        <v>91</v>
      </c>
      <c r="C20" s="107" t="str">
        <f>IFERROR(INDEX(Logs!$B$2:$B$500,MATCH('Beneficiaries (5)'!$B20,Logs!$A$2:$A$500,0)),"")</f>
        <v>Busisiwe</v>
      </c>
      <c r="D20" s="107" t="str">
        <f>IFERROR(INDEX(Logs!$C$2:$C$500,MATCH('Beneficiaries (5)'!$B20,Logs!$A$2:$A$500,0)),"")</f>
        <v>Mdingi</v>
      </c>
      <c r="E20" s="108" t="str">
        <f>IFERROR(INDEX(Logs!$D$2:$D$500,MATCH('Beneficiaries (5)'!$B20,Logs!$A$2:$A$500,0)),"")</f>
        <v>8704041264085</v>
      </c>
      <c r="F20" s="73" t="s">
        <v>761</v>
      </c>
      <c r="G20" s="101" t="str">
        <f t="shared" si="0"/>
        <v>F</v>
      </c>
      <c r="H20" s="72" t="s">
        <v>761</v>
      </c>
      <c r="I20" s="72" t="s">
        <v>762</v>
      </c>
      <c r="J20" s="111" t="str">
        <f>IFERROR(INDEX(Logs!$E$2:$E$500,MATCH('Beneficiaries (5)'!$B20,Logs!$A$2:$A$500,0)),"")</f>
        <v>14/05/0009</v>
      </c>
      <c r="K20" s="111" t="str">
        <f>IFERROR(INDEX(Logs!$F$2:$F$500,MATCH('Beneficiaries (5)'!$B20,Logs!$A$2:$A$500,0)),"")</f>
        <v>15/05/0036</v>
      </c>
      <c r="L20" s="111">
        <f>IFERROR(INDEX(Logs!$G$2:$G$500,MATCH('Beneficiaries (5)'!$B20,Logs!$A$2:$A$500,0)),0)</f>
        <v>22</v>
      </c>
      <c r="M20" s="72">
        <v>0</v>
      </c>
      <c r="N20" s="101">
        <f t="shared" si="3"/>
        <v>22</v>
      </c>
      <c r="O20" s="102">
        <f>IFERROR(INDEX(Logs!$H$2:$H$500,MATCH('Beneficiaries (5)'!$B20,Logs!$A$2:$A$500,0)),)</f>
        <v>204.16</v>
      </c>
      <c r="P20" s="103">
        <f t="shared" si="2"/>
        <v>4491.5199999999995</v>
      </c>
      <c r="Q20" s="95"/>
    </row>
    <row r="21" spans="1:17" x14ac:dyDescent="0.2">
      <c r="A21" s="100" t="str">
        <f t="shared" si="1"/>
        <v/>
      </c>
      <c r="B21" s="72">
        <v>92</v>
      </c>
      <c r="C21" s="107" t="str">
        <f>IFERROR(INDEX(Logs!$B$2:$B$500,MATCH('Beneficiaries (5)'!$B21,Logs!$A$2:$A$500,0)),"")</f>
        <v>Ntobeko</v>
      </c>
      <c r="D21" s="107" t="str">
        <f>IFERROR(INDEX(Logs!$C$2:$C$500,MATCH('Beneficiaries (5)'!$B21,Logs!$A$2:$A$500,0)),"")</f>
        <v>Cwaba</v>
      </c>
      <c r="E21" s="108" t="str">
        <f>IFERROR(INDEX(Logs!$D$2:$D$500,MATCH('Beneficiaries (5)'!$B21,Logs!$A$2:$A$500,0)),"")</f>
        <v>8801245773083</v>
      </c>
      <c r="F21" s="73" t="s">
        <v>761</v>
      </c>
      <c r="G21" s="101" t="str">
        <f t="shared" si="0"/>
        <v>M</v>
      </c>
      <c r="H21" s="72" t="s">
        <v>761</v>
      </c>
      <c r="I21" s="72" t="s">
        <v>762</v>
      </c>
      <c r="J21" s="111" t="str">
        <f>IFERROR(INDEX(Logs!$E$2:$E$500,MATCH('Beneficiaries (5)'!$B21,Logs!$A$2:$A$500,0)),"")</f>
        <v>14/05/0009</v>
      </c>
      <c r="K21" s="111" t="str">
        <f>IFERROR(INDEX(Logs!$F$2:$F$500,MATCH('Beneficiaries (5)'!$B21,Logs!$A$2:$A$500,0)),"")</f>
        <v>15/05/0036</v>
      </c>
      <c r="L21" s="111">
        <f>IFERROR(INDEX(Logs!$G$2:$G$500,MATCH('Beneficiaries (5)'!$B21,Logs!$A$2:$A$500,0)),0)</f>
        <v>19</v>
      </c>
      <c r="M21" s="72">
        <v>0</v>
      </c>
      <c r="N21" s="101">
        <f t="shared" si="3"/>
        <v>19</v>
      </c>
      <c r="O21" s="102">
        <f>IFERROR(INDEX(Logs!$H$2:$H$500,MATCH('Beneficiaries (5)'!$B21,Logs!$A$2:$A$500,0)),)</f>
        <v>204.16</v>
      </c>
      <c r="P21" s="103">
        <f t="shared" si="2"/>
        <v>3879.04</v>
      </c>
      <c r="Q21" s="95"/>
    </row>
    <row r="22" spans="1:17" x14ac:dyDescent="0.2">
      <c r="A22" s="100" t="str">
        <f t="shared" si="1"/>
        <v/>
      </c>
      <c r="B22" s="72">
        <v>93</v>
      </c>
      <c r="C22" s="109" t="str">
        <f>IFERROR(INDEX(Logs!$B$2:$B$500,MATCH('Beneficiaries (5)'!$B22,Logs!$A$2:$A$500,0)),"")</f>
        <v>Bonelwa</v>
      </c>
      <c r="D22" s="107" t="str">
        <f>IFERROR(INDEX(Logs!$C$2:$C$500,MATCH('Beneficiaries (5)'!$B22,Logs!$A$2:$A$500,0)),"")</f>
        <v>Ndendze</v>
      </c>
      <c r="E22" s="108" t="str">
        <f>IFERROR(INDEX(Logs!$D$2:$D$500,MATCH('Beneficiaries (5)'!$B22,Logs!$A$2:$A$500,0)),"")</f>
        <v>8009091193089</v>
      </c>
      <c r="F22" s="73" t="s">
        <v>761</v>
      </c>
      <c r="G22" s="101" t="str">
        <f t="shared" si="0"/>
        <v>F</v>
      </c>
      <c r="H22" s="72" t="s">
        <v>761</v>
      </c>
      <c r="I22" s="72" t="s">
        <v>762</v>
      </c>
      <c r="J22" s="111" t="str">
        <f>IFERROR(INDEX(Logs!$E$2:$E$500,MATCH('Beneficiaries (5)'!$B22,Logs!$A$2:$A$500,0)),"")</f>
        <v>14/05/0009</v>
      </c>
      <c r="K22" s="111" t="str">
        <f>IFERROR(INDEX(Logs!$F$2:$F$500,MATCH('Beneficiaries (5)'!$B22,Logs!$A$2:$A$500,0)),"")</f>
        <v>15/05/0036</v>
      </c>
      <c r="L22" s="111">
        <f>IFERROR(INDEX(Logs!$G$2:$G$500,MATCH('Beneficiaries (5)'!$B22,Logs!$A$2:$A$500,0)),0)</f>
        <v>22</v>
      </c>
      <c r="M22" s="72">
        <v>0</v>
      </c>
      <c r="N22" s="101">
        <f t="shared" si="3"/>
        <v>22</v>
      </c>
      <c r="O22" s="102">
        <f>IFERROR(INDEX(Logs!$H$2:$H$500,MATCH('Beneficiaries (5)'!$B22,Logs!$A$2:$A$500,0)),)</f>
        <v>204.16</v>
      </c>
      <c r="P22" s="103">
        <f t="shared" si="2"/>
        <v>4491.5199999999995</v>
      </c>
      <c r="Q22" s="95"/>
    </row>
    <row r="23" spans="1:17" x14ac:dyDescent="0.2">
      <c r="A23" s="100" t="str">
        <f t="shared" si="1"/>
        <v/>
      </c>
      <c r="B23" s="72">
        <v>94</v>
      </c>
      <c r="C23" s="109" t="str">
        <f>IFERROR(INDEX(Logs!$B$2:$B$500,MATCH('Beneficiaries (5)'!$B23,Logs!$A$2:$A$500,0)),"")</f>
        <v>Zimkhitha</v>
      </c>
      <c r="D23" s="107" t="str">
        <f>IFERROR(INDEX(Logs!$C$2:$C$500,MATCH('Beneficiaries (5)'!$B23,Logs!$A$2:$A$500,0)),"")</f>
        <v>Dyantyi</v>
      </c>
      <c r="E23" s="108" t="str">
        <f>IFERROR(INDEX(Logs!$D$2:$D$500,MATCH('Beneficiaries (5)'!$B23,Logs!$A$2:$A$500,0)),"")</f>
        <v>9607170465085</v>
      </c>
      <c r="F23" s="73" t="s">
        <v>761</v>
      </c>
      <c r="G23" s="101" t="str">
        <f t="shared" si="0"/>
        <v>F</v>
      </c>
      <c r="H23" s="72" t="s">
        <v>761</v>
      </c>
      <c r="I23" s="72" t="s">
        <v>762</v>
      </c>
      <c r="J23" s="111" t="str">
        <f>IFERROR(INDEX(Logs!$E$2:$E$500,MATCH('Beneficiaries (5)'!$B23,Logs!$A$2:$A$500,0)),"")</f>
        <v>15/05/0014</v>
      </c>
      <c r="K23" s="111" t="str">
        <f>IFERROR(INDEX(Logs!$F$2:$F$500,MATCH('Beneficiaries (5)'!$B23,Logs!$A$2:$A$500,0)),"")</f>
        <v>15/05/0036</v>
      </c>
      <c r="L23" s="111">
        <f>IFERROR(INDEX(Logs!$G$2:$G$500,MATCH('Beneficiaries (5)'!$B23,Logs!$A$2:$A$500,0)),0)</f>
        <v>22</v>
      </c>
      <c r="M23" s="72">
        <v>0</v>
      </c>
      <c r="N23" s="101">
        <f t="shared" si="3"/>
        <v>22</v>
      </c>
      <c r="O23" s="102">
        <f>IFERROR(INDEX(Logs!$H$2:$H$500,MATCH('Beneficiaries (5)'!$B23,Logs!$A$2:$A$500,0)),)</f>
        <v>204.16</v>
      </c>
      <c r="P23" s="103">
        <f t="shared" si="2"/>
        <v>4491.5199999999995</v>
      </c>
      <c r="Q23" s="95"/>
    </row>
    <row r="24" spans="1:17" x14ac:dyDescent="0.2">
      <c r="A24" s="100" t="str">
        <f t="shared" si="1"/>
        <v>INVALID ID - Check Digit</v>
      </c>
      <c r="B24" s="72">
        <v>95</v>
      </c>
      <c r="C24" s="109" t="str">
        <f>IFERROR(INDEX(Logs!$B$2:$B$500,MATCH('Beneficiaries (5)'!$B24,Logs!$A$2:$A$500,0)),"")</f>
        <v>Nombingisana</v>
      </c>
      <c r="D24" s="107" t="str">
        <f>IFERROR(INDEX(Logs!$C$2:$C$500,MATCH('Beneficiaries (5)'!$B24,Logs!$A$2:$A$500,0)),"")</f>
        <v>Mgcikwa</v>
      </c>
      <c r="E24" s="108" t="str">
        <f>IFERROR(INDEX(Logs!$D$2:$D$500,MATCH('Beneficiaries (5)'!$B24,Logs!$A$2:$A$500,0)),"")</f>
        <v>8007020645082</v>
      </c>
      <c r="F24" s="73" t="s">
        <v>761</v>
      </c>
      <c r="G24" s="101" t="str">
        <f t="shared" si="0"/>
        <v>F</v>
      </c>
      <c r="H24" s="72" t="s">
        <v>761</v>
      </c>
      <c r="I24" s="72" t="s">
        <v>762</v>
      </c>
      <c r="J24" s="111" t="str">
        <f>IFERROR(INDEX(Logs!$E$2:$E$500,MATCH('Beneficiaries (5)'!$B24,Logs!$A$2:$A$500,0)),"")</f>
        <v>15/05/0014</v>
      </c>
      <c r="K24" s="111" t="str">
        <f>IFERROR(INDEX(Logs!$F$2:$F$500,MATCH('Beneficiaries (5)'!$B24,Logs!$A$2:$A$500,0)),"")</f>
        <v>15/05/0036</v>
      </c>
      <c r="L24" s="111">
        <f>IFERROR(INDEX(Logs!$G$2:$G$500,MATCH('Beneficiaries (5)'!$B24,Logs!$A$2:$A$500,0)),0)</f>
        <v>22</v>
      </c>
      <c r="M24" s="72">
        <v>0</v>
      </c>
      <c r="N24" s="101">
        <f t="shared" si="3"/>
        <v>22</v>
      </c>
      <c r="O24" s="102">
        <f>IFERROR(INDEX(Logs!$H$2:$H$500,MATCH('Beneficiaries (5)'!$B24,Logs!$A$2:$A$500,0)),)</f>
        <v>204.16</v>
      </c>
      <c r="P24" s="103">
        <f t="shared" si="2"/>
        <v>4491.5199999999995</v>
      </c>
      <c r="Q24" s="95"/>
    </row>
    <row r="25" spans="1:17" x14ac:dyDescent="0.2">
      <c r="A25" s="100" t="str">
        <f t="shared" si="1"/>
        <v/>
      </c>
      <c r="B25" s="72">
        <v>96</v>
      </c>
      <c r="C25" s="110" t="str">
        <f>IFERROR(INDEX(Logs!$B$2:$B$500,MATCH('Beneficiaries (5)'!$B25,Logs!$A$2:$A$500,0)),"")</f>
        <v>Nocawe</v>
      </c>
      <c r="D25" s="107" t="str">
        <f>IFERROR(INDEX(Logs!$C$2:$C$500,MATCH('Beneficiaries (5)'!$B25,Logs!$A$2:$A$500,0)),"")</f>
        <v>Mhlomi</v>
      </c>
      <c r="E25" s="108" t="str">
        <f>IFERROR(INDEX(Logs!$D$2:$D$500,MATCH('Beneficiaries (5)'!$B25,Logs!$A$2:$A$500,0)),"")</f>
        <v>7002281405083</v>
      </c>
      <c r="F25" s="73" t="s">
        <v>761</v>
      </c>
      <c r="G25" s="101" t="str">
        <f t="shared" si="0"/>
        <v>F</v>
      </c>
      <c r="H25" s="72" t="s">
        <v>761</v>
      </c>
      <c r="I25" s="72" t="s">
        <v>762</v>
      </c>
      <c r="J25" s="111" t="str">
        <f>IFERROR(INDEX(Logs!$E$2:$E$500,MATCH('Beneficiaries (5)'!$B25,Logs!$A$2:$A$500,0)),"")</f>
        <v>15/05/0014</v>
      </c>
      <c r="K25" s="111" t="str">
        <f>IFERROR(INDEX(Logs!$F$2:$F$500,MATCH('Beneficiaries (5)'!$B25,Logs!$A$2:$A$500,0)),"")</f>
        <v>15/05/0036</v>
      </c>
      <c r="L25" s="111">
        <f>IFERROR(INDEX(Logs!$G$2:$G$500,MATCH('Beneficiaries (5)'!$B25,Logs!$A$2:$A$500,0)),0)</f>
        <v>22</v>
      </c>
      <c r="M25" s="72">
        <v>0</v>
      </c>
      <c r="N25" s="101">
        <f t="shared" si="3"/>
        <v>22</v>
      </c>
      <c r="O25" s="102">
        <f>IFERROR(INDEX(Logs!$H$2:$H$500,MATCH('Beneficiaries (5)'!$B25,Logs!$A$2:$A$500,0)),)</f>
        <v>204.16</v>
      </c>
      <c r="P25" s="103">
        <f t="shared" si="2"/>
        <v>4491.5199999999995</v>
      </c>
      <c r="Q25" s="95"/>
    </row>
    <row r="26" spans="1:17" x14ac:dyDescent="0.2">
      <c r="A26" s="100" t="str">
        <f t="shared" si="1"/>
        <v/>
      </c>
      <c r="B26" s="72">
        <v>97</v>
      </c>
      <c r="C26" s="110" t="str">
        <f>IFERROR(INDEX(Logs!$B$2:$B$500,MATCH('Beneficiaries (5)'!$B26,Logs!$A$2:$A$500,0)),"")</f>
        <v>Nosilungisele</v>
      </c>
      <c r="D26" s="107" t="str">
        <f>IFERROR(INDEX(Logs!$C$2:$C$500,MATCH('Beneficiaries (5)'!$B26,Logs!$A$2:$A$500,0)),"")</f>
        <v>Dumisana</v>
      </c>
      <c r="E26" s="108" t="str">
        <f>IFERROR(INDEX(Logs!$D$2:$D$500,MATCH('Beneficiaries (5)'!$B26,Logs!$A$2:$A$500,0)),"")</f>
        <v>7212281049084</v>
      </c>
      <c r="F26" s="73" t="s">
        <v>761</v>
      </c>
      <c r="G26" s="101" t="str">
        <f t="shared" si="0"/>
        <v>F</v>
      </c>
      <c r="H26" s="72" t="s">
        <v>761</v>
      </c>
      <c r="I26" s="72" t="s">
        <v>762</v>
      </c>
      <c r="J26" s="111" t="str">
        <f>IFERROR(INDEX(Logs!$E$2:$E$500,MATCH('Beneficiaries (5)'!$B26,Logs!$A$2:$A$500,0)),"")</f>
        <v>15/05/0014</v>
      </c>
      <c r="K26" s="111" t="str">
        <f>IFERROR(INDEX(Logs!$F$2:$F$500,MATCH('Beneficiaries (5)'!$B26,Logs!$A$2:$A$500,0)),"")</f>
        <v>15/05/0036</v>
      </c>
      <c r="L26" s="111">
        <f>IFERROR(INDEX(Logs!$G$2:$G$500,MATCH('Beneficiaries (5)'!$B26,Logs!$A$2:$A$500,0)),0)</f>
        <v>22</v>
      </c>
      <c r="M26" s="72">
        <v>0</v>
      </c>
      <c r="N26" s="101">
        <f t="shared" si="3"/>
        <v>22</v>
      </c>
      <c r="O26" s="102">
        <f>IFERROR(INDEX(Logs!$H$2:$H$500,MATCH('Beneficiaries (5)'!$B26,Logs!$A$2:$A$500,0)),)</f>
        <v>204.16</v>
      </c>
      <c r="P26" s="103">
        <f t="shared" si="2"/>
        <v>4491.5199999999995</v>
      </c>
      <c r="Q26" s="95"/>
    </row>
    <row r="27" spans="1:17" x14ac:dyDescent="0.2">
      <c r="A27" s="100" t="str">
        <f t="shared" si="1"/>
        <v/>
      </c>
      <c r="B27" s="72">
        <v>98</v>
      </c>
      <c r="C27" s="110" t="str">
        <f>IFERROR(INDEX(Logs!$B$2:$B$500,MATCH('Beneficiaries (5)'!$B27,Logs!$A$2:$A$500,0)),"")</f>
        <v>Lydia</v>
      </c>
      <c r="D27" s="107" t="str">
        <f>IFERROR(INDEX(Logs!$C$2:$C$500,MATCH('Beneficiaries (5)'!$B27,Logs!$A$2:$A$500,0)),"")</f>
        <v>Thompson</v>
      </c>
      <c r="E27" s="108" t="str">
        <f>IFERROR(INDEX(Logs!$D$2:$D$500,MATCH('Beneficiaries (5)'!$B27,Logs!$A$2:$A$500,0)),"")</f>
        <v>7009030116085</v>
      </c>
      <c r="F27" s="73" t="s">
        <v>761</v>
      </c>
      <c r="G27" s="101" t="str">
        <f t="shared" si="0"/>
        <v>F</v>
      </c>
      <c r="H27" s="72" t="s">
        <v>761</v>
      </c>
      <c r="I27" s="72" t="s">
        <v>762</v>
      </c>
      <c r="J27" s="111" t="str">
        <f>IFERROR(INDEX(Logs!$E$2:$E$500,MATCH('Beneficiaries (5)'!$B27,Logs!$A$2:$A$500,0)),"")</f>
        <v>15/05/0014</v>
      </c>
      <c r="K27" s="111" t="str">
        <f>IFERROR(INDEX(Logs!$F$2:$F$500,MATCH('Beneficiaries (5)'!$B27,Logs!$A$2:$A$500,0)),"")</f>
        <v>15/05/0036</v>
      </c>
      <c r="L27" s="111">
        <f>IFERROR(INDEX(Logs!$G$2:$G$500,MATCH('Beneficiaries (5)'!$B27,Logs!$A$2:$A$500,0)),0)</f>
        <v>22</v>
      </c>
      <c r="M27" s="72">
        <v>0</v>
      </c>
      <c r="N27" s="101">
        <f t="shared" si="3"/>
        <v>22</v>
      </c>
      <c r="O27" s="102">
        <f>IFERROR(INDEX(Logs!$H$2:$H$500,MATCH('Beneficiaries (5)'!$B27,Logs!$A$2:$A$500,0)),)</f>
        <v>204.16</v>
      </c>
      <c r="P27" s="103">
        <f t="shared" si="2"/>
        <v>4491.5199999999995</v>
      </c>
      <c r="Q27" s="95"/>
    </row>
    <row r="28" spans="1:17" x14ac:dyDescent="0.2">
      <c r="A28" s="100" t="str">
        <f t="shared" si="1"/>
        <v/>
      </c>
      <c r="B28" s="72">
        <v>99</v>
      </c>
      <c r="C28" s="110" t="str">
        <f>IFERROR(INDEX(Logs!$B$2:$B$500,MATCH('Beneficiaries (5)'!$B28,Logs!$A$2:$A$500,0)),"")</f>
        <v>Babalwa</v>
      </c>
      <c r="D28" s="107" t="str">
        <f>IFERROR(INDEX(Logs!$C$2:$C$500,MATCH('Beneficiaries (5)'!$B28,Logs!$A$2:$A$500,0)),"")</f>
        <v>Nokutshaya</v>
      </c>
      <c r="E28" s="108" t="str">
        <f>IFERROR(INDEX(Logs!$D$2:$D$500,MATCH('Beneficiaries (5)'!$B28,Logs!$A$2:$A$500,0)),"")</f>
        <v>8407041010082</v>
      </c>
      <c r="F28" s="73" t="s">
        <v>761</v>
      </c>
      <c r="G28" s="101" t="str">
        <f t="shared" si="0"/>
        <v>F</v>
      </c>
      <c r="H28" s="72" t="s">
        <v>761</v>
      </c>
      <c r="I28" s="72" t="s">
        <v>762</v>
      </c>
      <c r="J28" s="111" t="str">
        <f>IFERROR(INDEX(Logs!$E$2:$E$500,MATCH('Beneficiaries (5)'!$B28,Logs!$A$2:$A$500,0)),"")</f>
        <v>15/05/0014</v>
      </c>
      <c r="K28" s="111" t="str">
        <f>IFERROR(INDEX(Logs!$F$2:$F$500,MATCH('Beneficiaries (5)'!$B28,Logs!$A$2:$A$500,0)),"")</f>
        <v>15/05/0036</v>
      </c>
      <c r="L28" s="111">
        <f>IFERROR(INDEX(Logs!$G$2:$G$500,MATCH('Beneficiaries (5)'!$B28,Logs!$A$2:$A$500,0)),0)</f>
        <v>22</v>
      </c>
      <c r="M28" s="72">
        <v>0</v>
      </c>
      <c r="N28" s="101">
        <f t="shared" si="3"/>
        <v>22</v>
      </c>
      <c r="O28" s="102">
        <f>IFERROR(INDEX(Logs!$H$2:$H$500,MATCH('Beneficiaries (5)'!$B28,Logs!$A$2:$A$500,0)),)</f>
        <v>204.16</v>
      </c>
      <c r="P28" s="103">
        <f t="shared" si="2"/>
        <v>4491.5199999999995</v>
      </c>
      <c r="Q28" s="95"/>
    </row>
    <row r="29" spans="1:17" x14ac:dyDescent="0.2">
      <c r="A29" s="100" t="str">
        <f t="shared" si="1"/>
        <v/>
      </c>
      <c r="B29" s="72">
        <v>100</v>
      </c>
      <c r="C29" s="110" t="str">
        <f>IFERROR(INDEX(Logs!$B$2:$B$500,MATCH('Beneficiaries (5)'!$B29,Logs!$A$2:$A$500,0)),"")</f>
        <v>Cecilia</v>
      </c>
      <c r="D29" s="110" t="str">
        <f>IFERROR(INDEX(Logs!$C$2:$C$500,MATCH('Beneficiaries (5)'!$B29,Logs!$A$2:$A$500,0)),"")</f>
        <v>Pekenene</v>
      </c>
      <c r="E29" s="108" t="str">
        <f>IFERROR(INDEX(Logs!$D$2:$D$500,MATCH('Beneficiaries (5)'!$B29,Logs!$A$2:$A$500,0)),"")</f>
        <v>8704170393085</v>
      </c>
      <c r="F29" s="73" t="s">
        <v>761</v>
      </c>
      <c r="G29" s="101" t="str">
        <f t="shared" si="0"/>
        <v>F</v>
      </c>
      <c r="H29" s="72" t="s">
        <v>761</v>
      </c>
      <c r="I29" s="72" t="s">
        <v>762</v>
      </c>
      <c r="J29" s="111" t="str">
        <f>IFERROR(INDEX(Logs!$E$2:$E$500,MATCH('Beneficiaries (5)'!$B29,Logs!$A$2:$A$500,0)),"")</f>
        <v>15/05/0014</v>
      </c>
      <c r="K29" s="111" t="str">
        <f>IFERROR(INDEX(Logs!$F$2:$F$500,MATCH('Beneficiaries (5)'!$B29,Logs!$A$2:$A$500,0)),"")</f>
        <v>15/05/0036</v>
      </c>
      <c r="L29" s="111">
        <f>IFERROR(INDEX(Logs!$G$2:$G$500,MATCH('Beneficiaries (5)'!$B29,Logs!$A$2:$A$500,0)),0)</f>
        <v>22</v>
      </c>
      <c r="M29" s="72">
        <v>0</v>
      </c>
      <c r="N29" s="101">
        <f t="shared" si="3"/>
        <v>22</v>
      </c>
      <c r="O29" s="102">
        <f>IFERROR(INDEX(Logs!$H$2:$H$500,MATCH('Beneficiaries (5)'!$B29,Logs!$A$2:$A$500,0)),)</f>
        <v>204.16</v>
      </c>
      <c r="P29" s="103">
        <f t="shared" si="2"/>
        <v>4491.5199999999995</v>
      </c>
      <c r="Q29" s="95"/>
    </row>
    <row r="30" spans="1:17" x14ac:dyDescent="0.2"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104">
        <f>SUM(L10:L29)</f>
        <v>414</v>
      </c>
      <c r="M30" s="104">
        <f>SUM(M10:M29)</f>
        <v>0</v>
      </c>
      <c r="N30" s="104">
        <f>SUM(N10:N29)</f>
        <v>414</v>
      </c>
      <c r="O30" s="105">
        <f>SUM(O10:O29)</f>
        <v>4083.1999999999989</v>
      </c>
      <c r="P30" s="106">
        <f>SUM(P10:P29)</f>
        <v>84522.240000000005</v>
      </c>
      <c r="Q30" s="97"/>
    </row>
    <row r="31" spans="1:17" ht="27" customHeight="1" x14ac:dyDescent="0.2">
      <c r="B31" s="217" t="s">
        <v>98</v>
      </c>
      <c r="C31" s="217"/>
      <c r="D31" s="98" t="s">
        <v>97</v>
      </c>
      <c r="E31" s="218" t="str">
        <f>Project!$G$30</f>
        <v>Benjamin Milandou-Loubeka</v>
      </c>
      <c r="F31" s="218"/>
      <c r="G31" s="218"/>
      <c r="H31" s="219" t="s">
        <v>101</v>
      </c>
      <c r="I31" s="220"/>
      <c r="J31" s="220"/>
      <c r="K31" s="220"/>
      <c r="L31" s="220"/>
      <c r="M31" s="220"/>
      <c r="N31" s="220"/>
      <c r="O31" s="220"/>
      <c r="P31" s="220"/>
      <c r="Q31" s="87"/>
    </row>
    <row r="32" spans="1:17" ht="27" customHeight="1" x14ac:dyDescent="0.2">
      <c r="B32" s="217"/>
      <c r="C32" s="217"/>
      <c r="D32" s="98" t="s">
        <v>100</v>
      </c>
      <c r="E32" s="221">
        <f>Project!$AN$1</f>
        <v>45199</v>
      </c>
      <c r="F32" s="221"/>
      <c r="G32" s="221"/>
      <c r="H32" s="219"/>
      <c r="I32" s="220"/>
      <c r="J32" s="220"/>
      <c r="K32" s="220"/>
      <c r="L32" s="220"/>
      <c r="M32" s="220"/>
      <c r="N32" s="220"/>
      <c r="O32" s="220"/>
      <c r="P32" s="220"/>
      <c r="Q32" s="87"/>
    </row>
    <row r="33" spans="2:17" ht="14.25" customHeight="1" x14ac:dyDescent="0.2">
      <c r="B33" s="88"/>
      <c r="C33" s="88"/>
      <c r="D33" s="99"/>
      <c r="E33" s="87"/>
      <c r="F33" s="87"/>
      <c r="G33" s="87"/>
      <c r="H33" s="81"/>
      <c r="I33" s="87"/>
      <c r="J33" s="87"/>
      <c r="K33" s="87"/>
      <c r="L33" s="87"/>
      <c r="M33" s="87"/>
      <c r="N33" s="87"/>
      <c r="O33" s="87"/>
      <c r="P33" s="87"/>
      <c r="Q33" s="87"/>
    </row>
    <row r="34" spans="2:17" ht="27" customHeight="1" x14ac:dyDescent="0.2">
      <c r="B34" s="217" t="s">
        <v>99</v>
      </c>
      <c r="C34" s="217"/>
      <c r="D34" s="98" t="s">
        <v>97</v>
      </c>
      <c r="E34" s="220"/>
      <c r="F34" s="220"/>
      <c r="G34" s="220"/>
      <c r="H34" s="219" t="s">
        <v>101</v>
      </c>
      <c r="I34" s="220"/>
      <c r="J34" s="220"/>
      <c r="K34" s="220"/>
      <c r="L34" s="220"/>
      <c r="M34" s="220"/>
      <c r="N34" s="220"/>
      <c r="O34" s="220"/>
      <c r="P34" s="220"/>
      <c r="Q34" s="87"/>
    </row>
    <row r="35" spans="2:17" ht="27" customHeight="1" x14ac:dyDescent="0.2">
      <c r="B35" s="217"/>
      <c r="C35" s="217"/>
      <c r="D35" s="98" t="s">
        <v>100</v>
      </c>
      <c r="E35" s="220"/>
      <c r="F35" s="220"/>
      <c r="G35" s="220"/>
      <c r="H35" s="219"/>
      <c r="I35" s="220"/>
      <c r="J35" s="220"/>
      <c r="K35" s="220"/>
      <c r="L35" s="220"/>
      <c r="M35" s="220"/>
      <c r="N35" s="220"/>
      <c r="O35" s="220"/>
      <c r="P35" s="220"/>
      <c r="Q35" s="87"/>
    </row>
    <row r="74" spans="2:2" x14ac:dyDescent="0.2">
      <c r="B74" s="87"/>
    </row>
  </sheetData>
  <sheetProtection algorithmName="SHA-512" hashValue="couQqIpO7vJhlAy7A0BQyF4xw6qGFJcgeYwa8A3E/NOq1eeMAHv86mG620kKeCEZjJF32WgmIDI61VlpXOZ73A==" saltValue="VnwiJG3iljv27iQ9VZzFgA==" spinCount="100000" sheet="1" selectLockedCells="1"/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conditionalFormatting sqref="C10:C21">
    <cfRule type="uniqueValues" dxfId="98" priority="9"/>
  </conditionalFormatting>
  <conditionalFormatting sqref="D10:D20">
    <cfRule type="uniqueValues" dxfId="97" priority="8"/>
  </conditionalFormatting>
  <conditionalFormatting sqref="D21:D28">
    <cfRule type="uniqueValues" dxfId="96" priority="7"/>
  </conditionalFormatting>
  <conditionalFormatting sqref="F10:F29">
    <cfRule type="expression" dxfId="95" priority="6">
      <formula>$C10=""</formula>
    </cfRule>
  </conditionalFormatting>
  <conditionalFormatting sqref="H10:I29">
    <cfRule type="expression" dxfId="94" priority="5">
      <formula>$C10=""</formula>
    </cfRule>
  </conditionalFormatting>
  <conditionalFormatting sqref="B10:B29">
    <cfRule type="expression" dxfId="93" priority="4">
      <formula>$C10=""</formula>
    </cfRule>
  </conditionalFormatting>
  <conditionalFormatting sqref="L10:L29">
    <cfRule type="cellIs" dxfId="92" priority="3" operator="equal">
      <formula>0</formula>
    </cfRule>
  </conditionalFormatting>
  <conditionalFormatting sqref="M10:N29">
    <cfRule type="expression" dxfId="91" priority="2">
      <formula>$C10=""</formula>
    </cfRule>
  </conditionalFormatting>
  <conditionalFormatting sqref="O10:P29">
    <cfRule type="expression" dxfId="90" priority="1">
      <formula>$C10=""</formula>
    </cfRule>
  </conditionalFormatting>
  <dataValidations count="1">
    <dataValidation allowBlank="1" showInputMessage="1" showErrorMessage="1" promptTitle="Month" sqref="I6" xr:uid="{EE5FA3B0-B468-4EEC-8926-DF996DAE285A}"/>
  </dataValidations>
  <pageMargins left="0.23622047244094491" right="0.23622047244094491" top="0.74803149606299213" bottom="0.74803149606299213" header="0.31496062992125984" footer="0.31496062992125984"/>
  <pageSetup paperSize="9" scale="86"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4A68D-DF5D-436D-8B4E-DFCD1CB41DEB}">
  <sheetPr codeName="Sheet20">
    <pageSetUpPr fitToPage="1"/>
  </sheetPr>
  <dimension ref="A1:R74"/>
  <sheetViews>
    <sheetView showGridLines="0" zoomScaleNormal="100" workbookViewId="0">
      <selection activeCell="A5" sqref="A5"/>
    </sheetView>
  </sheetViews>
  <sheetFormatPr defaultColWidth="8.85546875" defaultRowHeight="12.75" x14ac:dyDescent="0.2"/>
  <cols>
    <col min="1" max="1" width="20.7109375" style="76" customWidth="1"/>
    <col min="2" max="2" width="4.42578125" style="80" customWidth="1"/>
    <col min="3" max="5" width="24.42578125" style="80" customWidth="1"/>
    <col min="6" max="6" width="10.140625" style="80" customWidth="1"/>
    <col min="7" max="9" width="8.85546875" style="80"/>
    <col min="10" max="11" width="10.140625" style="80" bestFit="1" customWidth="1"/>
    <col min="12" max="15" width="13.7109375" style="80" customWidth="1"/>
    <col min="16" max="17" width="14.5703125" style="80" customWidth="1"/>
    <col min="18" max="18" width="8.85546875" style="150"/>
    <col min="19" max="16384" width="8.85546875" style="80"/>
  </cols>
  <sheetData>
    <row r="1" spans="1:18" ht="15.75" x14ac:dyDescent="0.25">
      <c r="B1" s="77" t="s">
        <v>44</v>
      </c>
      <c r="C1" s="78"/>
      <c r="D1" s="78"/>
      <c r="E1" s="79" t="s">
        <v>1</v>
      </c>
      <c r="G1" s="78"/>
      <c r="H1" s="78"/>
      <c r="I1" s="78"/>
      <c r="R1" s="114">
        <f>IF(Beneficiaries!$P$30&gt;0,1,"")</f>
        <v>1</v>
      </c>
    </row>
    <row r="2" spans="1:18" ht="15.75" x14ac:dyDescent="0.25"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114">
        <f>IF('Beneficiaries (2)'!$P$30&gt;0,1,"")</f>
        <v>1</v>
      </c>
    </row>
    <row r="3" spans="1:18" x14ac:dyDescent="0.2">
      <c r="B3" s="210" t="s">
        <v>28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81"/>
      <c r="R3" s="114">
        <f>IF('Beneficiaries (3)'!$P$30&gt;0,1,"")</f>
        <v>1</v>
      </c>
    </row>
    <row r="4" spans="1:18" x14ac:dyDescent="0.2">
      <c r="C4" s="77"/>
      <c r="D4" s="77"/>
      <c r="E4" s="77"/>
      <c r="F4" s="77"/>
      <c r="G4" s="77"/>
      <c r="R4" s="114">
        <f>IF('Beneficiaries (4)'!$P$30&gt;0,1,"")</f>
        <v>1</v>
      </c>
    </row>
    <row r="5" spans="1:18" ht="12.75" customHeight="1" x14ac:dyDescent="0.2">
      <c r="B5" s="211" t="s">
        <v>12</v>
      </c>
      <c r="C5" s="212"/>
      <c r="D5" s="215" t="str">
        <f>Project!$Z$25</f>
        <v>WSDS/24/111i</v>
      </c>
      <c r="E5" s="215"/>
      <c r="F5" s="82"/>
      <c r="H5" s="83" t="s">
        <v>80</v>
      </c>
      <c r="I5" s="83" t="s">
        <v>81</v>
      </c>
      <c r="J5" s="77"/>
      <c r="K5" s="216" t="s">
        <v>78</v>
      </c>
      <c r="L5" s="216"/>
      <c r="M5" s="216"/>
      <c r="N5" s="85"/>
      <c r="O5" s="85"/>
      <c r="P5" s="77"/>
      <c r="Q5" s="77"/>
      <c r="R5" s="114">
        <f>IF('Beneficiaries (5)'!$P$30&gt;0,1,"")</f>
        <v>1</v>
      </c>
    </row>
    <row r="6" spans="1:18" x14ac:dyDescent="0.2">
      <c r="B6" s="213"/>
      <c r="C6" s="214"/>
      <c r="D6" s="215"/>
      <c r="E6" s="215"/>
      <c r="F6" s="82"/>
      <c r="H6" s="112" t="str">
        <f>TEXT(Project!$AN$1,"YYYY")</f>
        <v>2023</v>
      </c>
      <c r="I6" s="112" t="str">
        <f>TEXT(Project!$AN$1,"MMMM")</f>
        <v>September</v>
      </c>
      <c r="J6" s="86"/>
      <c r="K6" s="57">
        <v>1</v>
      </c>
      <c r="L6" s="84" t="s">
        <v>79</v>
      </c>
      <c r="M6" s="113">
        <f>IF(K6&gt;0,COUNT(R1:R20),"")</f>
        <v>14</v>
      </c>
      <c r="N6" s="85"/>
      <c r="O6" s="85"/>
      <c r="P6" s="87"/>
      <c r="Q6" s="87"/>
      <c r="R6" s="114">
        <f>IF('Beneficiaries (6)'!$P$30&gt;0,1,"")</f>
        <v>1</v>
      </c>
    </row>
    <row r="7" spans="1:18" x14ac:dyDescent="0.2">
      <c r="B7" s="88"/>
      <c r="C7" s="88"/>
      <c r="D7" s="88"/>
      <c r="E7" s="87"/>
      <c r="F7" s="87"/>
      <c r="H7" s="86"/>
      <c r="I7" s="86"/>
      <c r="J7" s="86"/>
      <c r="K7" s="87"/>
      <c r="L7" s="85"/>
      <c r="M7" s="85"/>
      <c r="N7" s="85"/>
      <c r="O7" s="85"/>
      <c r="P7" s="87"/>
      <c r="Q7" s="87"/>
      <c r="R7" s="114">
        <f>IF('Beneficiaries (7)'!$P$30&gt;0,1,"")</f>
        <v>1</v>
      </c>
    </row>
    <row r="8" spans="1:18" x14ac:dyDescent="0.2">
      <c r="B8" s="89"/>
      <c r="C8" s="90" t="s">
        <v>34</v>
      </c>
      <c r="D8" s="90" t="s">
        <v>34</v>
      </c>
      <c r="E8" s="90" t="s">
        <v>34</v>
      </c>
      <c r="F8" s="90" t="s">
        <v>35</v>
      </c>
      <c r="G8" s="89"/>
      <c r="H8" s="89"/>
      <c r="I8" s="90" t="s">
        <v>36</v>
      </c>
      <c r="J8" s="89"/>
      <c r="K8" s="90" t="s">
        <v>37</v>
      </c>
      <c r="L8" s="90" t="s">
        <v>38</v>
      </c>
      <c r="M8" s="90" t="s">
        <v>42</v>
      </c>
      <c r="N8" s="90"/>
      <c r="O8" s="90" t="s">
        <v>104</v>
      </c>
      <c r="P8" s="90"/>
      <c r="Q8" s="91"/>
      <c r="R8" s="114">
        <f>IF('Beneficiaries (8)'!$P$30&gt;0,1,"")</f>
        <v>1</v>
      </c>
    </row>
    <row r="9" spans="1:18" ht="45" x14ac:dyDescent="0.2">
      <c r="B9" s="92" t="s">
        <v>29</v>
      </c>
      <c r="C9" s="92" t="s">
        <v>30</v>
      </c>
      <c r="D9" s="92" t="s">
        <v>31</v>
      </c>
      <c r="E9" s="92" t="s">
        <v>32</v>
      </c>
      <c r="F9" s="93" t="s">
        <v>96</v>
      </c>
      <c r="G9" s="93" t="s">
        <v>33</v>
      </c>
      <c r="H9" s="93" t="s">
        <v>76</v>
      </c>
      <c r="I9" s="93" t="s">
        <v>77</v>
      </c>
      <c r="J9" s="93" t="s">
        <v>95</v>
      </c>
      <c r="K9" s="93" t="s">
        <v>94</v>
      </c>
      <c r="L9" s="93" t="s">
        <v>41</v>
      </c>
      <c r="M9" s="93" t="s">
        <v>103</v>
      </c>
      <c r="N9" s="93" t="s">
        <v>116</v>
      </c>
      <c r="O9" s="93" t="s">
        <v>102</v>
      </c>
      <c r="P9" s="93" t="s">
        <v>117</v>
      </c>
      <c r="Q9" s="94"/>
      <c r="R9" s="114">
        <f>IF('Beneficiaries (9)'!$P$30&gt;0,1,"")</f>
        <v>1</v>
      </c>
    </row>
    <row r="10" spans="1:18" x14ac:dyDescent="0.2">
      <c r="A10" s="100" t="str">
        <f>ID_Valid(E10)</f>
        <v/>
      </c>
      <c r="B10" s="72">
        <v>101</v>
      </c>
      <c r="C10" s="107" t="str">
        <f>IFERROR(INDEX(Logs!$B$2:$B$500,MATCH('Beneficiaries (6)'!$B10,Logs!$A$2:$A$500,0)),"")</f>
        <v>Nonkululeko</v>
      </c>
      <c r="D10" s="107" t="str">
        <f>IFERROR(INDEX(Logs!$C$2:$C$500,MATCH('Beneficiaries (6)'!$B10,Logs!$A$2:$A$500,0)),"")</f>
        <v>Mgetyengana</v>
      </c>
      <c r="E10" s="108" t="str">
        <f>IFERROR(INDEX(Logs!$D$2:$D$500,MATCH('Beneficiaries (6)'!$B10,Logs!$A$2:$A$500,0)),"")</f>
        <v>7603261328086</v>
      </c>
      <c r="F10" s="73" t="s">
        <v>761</v>
      </c>
      <c r="G10" s="101" t="str">
        <f t="shared" ref="G10:G29" si="0">TheGender(E10)</f>
        <v>F</v>
      </c>
      <c r="H10" s="72" t="s">
        <v>761</v>
      </c>
      <c r="I10" s="74" t="s">
        <v>762</v>
      </c>
      <c r="J10" s="110" t="str">
        <f>IFERROR(INDEX(Logs!$E$2:$E$500,MATCH('Beneficiaries (6)'!$B10,Logs!$A$2:$A$500,0)),"")</f>
        <v>15/05/0014</v>
      </c>
      <c r="K10" s="110" t="str">
        <f>IFERROR(INDEX(Logs!$F$2:$F$500,MATCH('Beneficiaries (6)'!$B10,Logs!$A$2:$A$500,0)),"")</f>
        <v>15/05/0036</v>
      </c>
      <c r="L10" s="111">
        <f>IFERROR(INDEX(Logs!$G$2:$G$500,MATCH('Beneficiaries (6)'!$B10,Logs!$A$2:$A$500,0)),0)</f>
        <v>22</v>
      </c>
      <c r="M10" s="72">
        <v>0</v>
      </c>
      <c r="N10" s="101">
        <f>M10+L10</f>
        <v>22</v>
      </c>
      <c r="O10" s="102">
        <f>IFERROR(INDEX(Logs!$H$2:$H$500,MATCH('Beneficiaries (6)'!$B10,Logs!$A$2:$A$500,0)),)</f>
        <v>204.16</v>
      </c>
      <c r="P10" s="103">
        <f>IFERROR(N10*O10,0)</f>
        <v>4491.5199999999995</v>
      </c>
      <c r="Q10" s="95"/>
      <c r="R10" s="114">
        <f>IF('Beneficiaries (10)'!$P$30&gt;0,1,"")</f>
        <v>1</v>
      </c>
    </row>
    <row r="11" spans="1:18" x14ac:dyDescent="0.2">
      <c r="A11" s="100" t="str">
        <f t="shared" ref="A11:A29" si="1">ID_Valid(E11)</f>
        <v/>
      </c>
      <c r="B11" s="72">
        <v>102</v>
      </c>
      <c r="C11" s="107" t="str">
        <f>IFERROR(INDEX(Logs!$B$2:$B$500,MATCH('Beneficiaries (6)'!$B11,Logs!$A$2:$A$500,0)),"")</f>
        <v>Nkeletseng</v>
      </c>
      <c r="D11" s="107" t="str">
        <f>IFERROR(INDEX(Logs!$C$2:$C$500,MATCH('Beneficiaries (6)'!$B11,Logs!$A$2:$A$500,0)),"")</f>
        <v>Monethi</v>
      </c>
      <c r="E11" s="108" t="str">
        <f>IFERROR(INDEX(Logs!$D$2:$D$500,MATCH('Beneficiaries (6)'!$B11,Logs!$A$2:$A$500,0)),"")</f>
        <v>8709131021089</v>
      </c>
      <c r="F11" s="73" t="s">
        <v>761</v>
      </c>
      <c r="G11" s="101" t="str">
        <f t="shared" si="0"/>
        <v>F</v>
      </c>
      <c r="H11" s="72" t="s">
        <v>761</v>
      </c>
      <c r="I11" s="72" t="s">
        <v>762</v>
      </c>
      <c r="J11" s="111" t="str">
        <f>IFERROR(INDEX(Logs!$E$2:$E$500,MATCH('Beneficiaries (6)'!$B11,Logs!$A$2:$A$500,0)),"")</f>
        <v>15/05/0014</v>
      </c>
      <c r="K11" s="111" t="str">
        <f>IFERROR(INDEX(Logs!$F$2:$F$500,MATCH('Beneficiaries (6)'!$B11,Logs!$A$2:$A$500,0)),"")</f>
        <v>15/05/0036</v>
      </c>
      <c r="L11" s="111">
        <f>IFERROR(INDEX(Logs!$G$2:$G$500,MATCH('Beneficiaries (6)'!$B11,Logs!$A$2:$A$500,0)),0)</f>
        <v>22</v>
      </c>
      <c r="M11" s="72">
        <v>0</v>
      </c>
      <c r="N11" s="101">
        <f>L11+M11</f>
        <v>22</v>
      </c>
      <c r="O11" s="102">
        <f>IFERROR(INDEX(Logs!$H$2:$H$500,MATCH('Beneficiaries (6)'!$B11,Logs!$A$2:$A$500,0)),)</f>
        <v>204.16</v>
      </c>
      <c r="P11" s="103">
        <f t="shared" ref="P11:P29" si="2">IFERROR(N11*O11,0)</f>
        <v>4491.5199999999995</v>
      </c>
      <c r="Q11" s="95"/>
      <c r="R11" s="114">
        <f>IF('Beneficiaries (11)'!$P$30&gt;0,1,"")</f>
        <v>1</v>
      </c>
    </row>
    <row r="12" spans="1:18" x14ac:dyDescent="0.2">
      <c r="A12" s="100" t="str">
        <f t="shared" si="1"/>
        <v/>
      </c>
      <c r="B12" s="72">
        <v>103</v>
      </c>
      <c r="C12" s="107" t="str">
        <f>IFERROR(INDEX(Logs!$B$2:$B$500,MATCH('Beneficiaries (6)'!$B12,Logs!$A$2:$A$500,0)),"")</f>
        <v>Naome</v>
      </c>
      <c r="D12" s="107" t="str">
        <f>IFERROR(INDEX(Logs!$C$2:$C$500,MATCH('Beneficiaries (6)'!$B12,Logs!$A$2:$A$500,0)),"")</f>
        <v>Monyane</v>
      </c>
      <c r="E12" s="108" t="str">
        <f>IFERROR(INDEX(Logs!$D$2:$D$500,MATCH('Beneficiaries (6)'!$B12,Logs!$A$2:$A$500,0)),"")</f>
        <v>8708071255087</v>
      </c>
      <c r="F12" s="73" t="s">
        <v>761</v>
      </c>
      <c r="G12" s="101" t="str">
        <f t="shared" si="0"/>
        <v>F</v>
      </c>
      <c r="H12" s="72" t="s">
        <v>761</v>
      </c>
      <c r="I12" s="72" t="s">
        <v>762</v>
      </c>
      <c r="J12" s="111" t="str">
        <f>IFERROR(INDEX(Logs!$E$2:$E$500,MATCH('Beneficiaries (6)'!$B12,Logs!$A$2:$A$500,0)),"")</f>
        <v>15/05/0014</v>
      </c>
      <c r="K12" s="111" t="str">
        <f>IFERROR(INDEX(Logs!$F$2:$F$500,MATCH('Beneficiaries (6)'!$B12,Logs!$A$2:$A$500,0)),"")</f>
        <v>15/05/0036</v>
      </c>
      <c r="L12" s="111">
        <f>IFERROR(INDEX(Logs!$G$2:$G$500,MATCH('Beneficiaries (6)'!$B12,Logs!$A$2:$A$500,0)),0)</f>
        <v>22</v>
      </c>
      <c r="M12" s="72">
        <v>0</v>
      </c>
      <c r="N12" s="101">
        <f t="shared" ref="N12:N29" si="3">L12+M12</f>
        <v>22</v>
      </c>
      <c r="O12" s="102">
        <f>IFERROR(INDEX(Logs!$H$2:$H$500,MATCH('Beneficiaries (6)'!$B12,Logs!$A$2:$A$500,0)),)</f>
        <v>204.16</v>
      </c>
      <c r="P12" s="103">
        <f t="shared" si="2"/>
        <v>4491.5199999999995</v>
      </c>
      <c r="Q12" s="95"/>
      <c r="R12" s="114">
        <f>IF('Beneficiaries (12)'!$P$30&gt;0,1,"")</f>
        <v>1</v>
      </c>
    </row>
    <row r="13" spans="1:18" x14ac:dyDescent="0.2">
      <c r="A13" s="100" t="str">
        <f t="shared" si="1"/>
        <v/>
      </c>
      <c r="B13" s="72">
        <v>104</v>
      </c>
      <c r="C13" s="107" t="str">
        <f>IFERROR(INDEX(Logs!$B$2:$B$500,MATCH('Beneficiaries (6)'!$B13,Logs!$A$2:$A$500,0)),"")</f>
        <v>Likenkeng</v>
      </c>
      <c r="D13" s="107" t="str">
        <f>IFERROR(INDEX(Logs!$C$2:$C$500,MATCH('Beneficiaries (6)'!$B13,Logs!$A$2:$A$500,0)),"")</f>
        <v>Ntsie</v>
      </c>
      <c r="E13" s="108" t="str">
        <f>IFERROR(INDEX(Logs!$D$2:$D$500,MATCH('Beneficiaries (6)'!$B13,Logs!$A$2:$A$500,0)),"")</f>
        <v>8209120712087</v>
      </c>
      <c r="F13" s="73" t="s">
        <v>761</v>
      </c>
      <c r="G13" s="101" t="str">
        <f t="shared" si="0"/>
        <v>F</v>
      </c>
      <c r="H13" s="72" t="s">
        <v>761</v>
      </c>
      <c r="I13" s="72" t="s">
        <v>762</v>
      </c>
      <c r="J13" s="111" t="str">
        <f>IFERROR(INDEX(Logs!$E$2:$E$500,MATCH('Beneficiaries (6)'!$B13,Logs!$A$2:$A$500,0)),"")</f>
        <v>15/05/0014</v>
      </c>
      <c r="K13" s="111" t="str">
        <f>IFERROR(INDEX(Logs!$F$2:$F$500,MATCH('Beneficiaries (6)'!$B13,Logs!$A$2:$A$500,0)),"")</f>
        <v>15/05/0036</v>
      </c>
      <c r="L13" s="111">
        <f>IFERROR(INDEX(Logs!$G$2:$G$500,MATCH('Beneficiaries (6)'!$B13,Logs!$A$2:$A$500,0)),0)</f>
        <v>22</v>
      </c>
      <c r="M13" s="72">
        <v>0</v>
      </c>
      <c r="N13" s="101">
        <f t="shared" si="3"/>
        <v>22</v>
      </c>
      <c r="O13" s="102">
        <f>IFERROR(INDEX(Logs!$H$2:$H$500,MATCH('Beneficiaries (6)'!$B13,Logs!$A$2:$A$500,0)),)</f>
        <v>204.16</v>
      </c>
      <c r="P13" s="103">
        <f t="shared" si="2"/>
        <v>4491.5199999999995</v>
      </c>
      <c r="Q13" s="95"/>
      <c r="R13" s="114">
        <f>IF('Beneficiaries (13)'!$P$30&gt;0,1,"")</f>
        <v>1</v>
      </c>
    </row>
    <row r="14" spans="1:18" x14ac:dyDescent="0.2">
      <c r="A14" s="100" t="str">
        <f t="shared" si="1"/>
        <v/>
      </c>
      <c r="B14" s="72">
        <v>105</v>
      </c>
      <c r="C14" s="107" t="str">
        <f>IFERROR(INDEX(Logs!$B$2:$B$500,MATCH('Beneficiaries (6)'!$B14,Logs!$A$2:$A$500,0)),"")</f>
        <v>Lindiwe</v>
      </c>
      <c r="D14" s="107" t="str">
        <f>IFERROR(INDEX(Logs!$C$2:$C$500,MATCH('Beneficiaries (6)'!$B14,Logs!$A$2:$A$500,0)),"")</f>
        <v>Ndyiba</v>
      </c>
      <c r="E14" s="108" t="str">
        <f>IFERROR(INDEX(Logs!$D$2:$D$500,MATCH('Beneficiaries (6)'!$B14,Logs!$A$2:$A$500,0)),"")</f>
        <v>7309240718088</v>
      </c>
      <c r="F14" s="73" t="s">
        <v>761</v>
      </c>
      <c r="G14" s="101" t="str">
        <f t="shared" si="0"/>
        <v>F</v>
      </c>
      <c r="H14" s="72" t="s">
        <v>761</v>
      </c>
      <c r="I14" s="72" t="s">
        <v>762</v>
      </c>
      <c r="J14" s="111" t="str">
        <f>IFERROR(INDEX(Logs!$E$2:$E$500,MATCH('Beneficiaries (6)'!$B14,Logs!$A$2:$A$500,0)),"")</f>
        <v>15/05/0014</v>
      </c>
      <c r="K14" s="111" t="str">
        <f>IFERROR(INDEX(Logs!$F$2:$F$500,MATCH('Beneficiaries (6)'!$B14,Logs!$A$2:$A$500,0)),"")</f>
        <v>15/05/0036</v>
      </c>
      <c r="L14" s="111">
        <f>IFERROR(INDEX(Logs!$G$2:$G$500,MATCH('Beneficiaries (6)'!$B14,Logs!$A$2:$A$500,0)),0)</f>
        <v>22</v>
      </c>
      <c r="M14" s="72">
        <v>0</v>
      </c>
      <c r="N14" s="101">
        <f t="shared" si="3"/>
        <v>22</v>
      </c>
      <c r="O14" s="102">
        <f>IFERROR(INDEX(Logs!$H$2:$H$500,MATCH('Beneficiaries (6)'!$B14,Logs!$A$2:$A$500,0)),)</f>
        <v>204.16</v>
      </c>
      <c r="P14" s="103">
        <f t="shared" si="2"/>
        <v>4491.5199999999995</v>
      </c>
      <c r="Q14" s="95"/>
      <c r="R14" s="114">
        <f>IF('Beneficiaries (14)'!$P$30&gt;0,1,"")</f>
        <v>1</v>
      </c>
    </row>
    <row r="15" spans="1:18" x14ac:dyDescent="0.2">
      <c r="A15" s="100" t="str">
        <f t="shared" si="1"/>
        <v/>
      </c>
      <c r="B15" s="72">
        <v>106</v>
      </c>
      <c r="C15" s="107" t="str">
        <f>IFERROR(INDEX(Logs!$B$2:$B$500,MATCH('Beneficiaries (6)'!$B15,Logs!$A$2:$A$500,0)),"")</f>
        <v>Nokulunga</v>
      </c>
      <c r="D15" s="107" t="str">
        <f>IFERROR(INDEX(Logs!$C$2:$C$500,MATCH('Beneficiaries (6)'!$B15,Logs!$A$2:$A$500,0)),"")</f>
        <v>Mrubata</v>
      </c>
      <c r="E15" s="108" t="str">
        <f>IFERROR(INDEX(Logs!$D$2:$D$500,MATCH('Beneficiaries (6)'!$B15,Logs!$A$2:$A$500,0)),"")</f>
        <v>8604040387087</v>
      </c>
      <c r="F15" s="73" t="s">
        <v>761</v>
      </c>
      <c r="G15" s="101" t="str">
        <f t="shared" si="0"/>
        <v>F</v>
      </c>
      <c r="H15" s="72" t="s">
        <v>761</v>
      </c>
      <c r="I15" s="72" t="s">
        <v>762</v>
      </c>
      <c r="J15" s="111" t="str">
        <f>IFERROR(INDEX(Logs!$E$2:$E$500,MATCH('Beneficiaries (6)'!$B15,Logs!$A$2:$A$500,0)),"")</f>
        <v>15/05/0014</v>
      </c>
      <c r="K15" s="111" t="str">
        <f>IFERROR(INDEX(Logs!$F$2:$F$500,MATCH('Beneficiaries (6)'!$B15,Logs!$A$2:$A$500,0)),"")</f>
        <v>15/05/0036</v>
      </c>
      <c r="L15" s="111">
        <f>IFERROR(INDEX(Logs!$G$2:$G$500,MATCH('Beneficiaries (6)'!$B15,Logs!$A$2:$A$500,0)),0)</f>
        <v>22</v>
      </c>
      <c r="M15" s="72">
        <v>0</v>
      </c>
      <c r="N15" s="101">
        <f t="shared" si="3"/>
        <v>22</v>
      </c>
      <c r="O15" s="102">
        <f>IFERROR(INDEX(Logs!$H$2:$H$500,MATCH('Beneficiaries (6)'!$B15,Logs!$A$2:$A$500,0)),)</f>
        <v>204.16</v>
      </c>
      <c r="P15" s="103">
        <f t="shared" si="2"/>
        <v>4491.5199999999995</v>
      </c>
      <c r="Q15" s="95"/>
      <c r="R15" s="115"/>
    </row>
    <row r="16" spans="1:18" x14ac:dyDescent="0.2">
      <c r="A16" s="100" t="str">
        <f t="shared" si="1"/>
        <v/>
      </c>
      <c r="B16" s="72">
        <v>107</v>
      </c>
      <c r="C16" s="107" t="str">
        <f>IFERROR(INDEX(Logs!$B$2:$B$500,MATCH('Beneficiaries (6)'!$B16,Logs!$A$2:$A$500,0)),"")</f>
        <v>Thandiwe</v>
      </c>
      <c r="D16" s="107" t="str">
        <f>IFERROR(INDEX(Logs!$C$2:$C$500,MATCH('Beneficiaries (6)'!$B16,Logs!$A$2:$A$500,0)),"")</f>
        <v>Swelenkomo</v>
      </c>
      <c r="E16" s="108" t="str">
        <f>IFERROR(INDEX(Logs!$D$2:$D$500,MATCH('Beneficiaries (6)'!$B16,Logs!$A$2:$A$500,0)),"")</f>
        <v>8703091393083</v>
      </c>
      <c r="F16" s="73" t="s">
        <v>761</v>
      </c>
      <c r="G16" s="101" t="str">
        <f t="shared" si="0"/>
        <v>F</v>
      </c>
      <c r="H16" s="72" t="s">
        <v>761</v>
      </c>
      <c r="I16" s="72" t="s">
        <v>762</v>
      </c>
      <c r="J16" s="111" t="str">
        <f>IFERROR(INDEX(Logs!$E$2:$E$500,MATCH('Beneficiaries (6)'!$B16,Logs!$A$2:$A$500,0)),"")</f>
        <v>15/05/0014</v>
      </c>
      <c r="K16" s="111" t="str">
        <f>IFERROR(INDEX(Logs!$F$2:$F$500,MATCH('Beneficiaries (6)'!$B16,Logs!$A$2:$A$500,0)),"")</f>
        <v>15/05/0036</v>
      </c>
      <c r="L16" s="111">
        <f>IFERROR(INDEX(Logs!$G$2:$G$500,MATCH('Beneficiaries (6)'!$B16,Logs!$A$2:$A$500,0)),0)</f>
        <v>22</v>
      </c>
      <c r="M16" s="72">
        <v>0</v>
      </c>
      <c r="N16" s="101">
        <f t="shared" si="3"/>
        <v>22</v>
      </c>
      <c r="O16" s="102">
        <f>IFERROR(INDEX(Logs!$H$2:$H$500,MATCH('Beneficiaries (6)'!$B16,Logs!$A$2:$A$500,0)),)</f>
        <v>204.16</v>
      </c>
      <c r="P16" s="103">
        <f t="shared" si="2"/>
        <v>4491.5199999999995</v>
      </c>
      <c r="Q16" s="95"/>
      <c r="R16" s="115"/>
    </row>
    <row r="17" spans="1:18" x14ac:dyDescent="0.2">
      <c r="A17" s="100" t="str">
        <f t="shared" si="1"/>
        <v/>
      </c>
      <c r="B17" s="72">
        <v>108</v>
      </c>
      <c r="C17" s="107" t="str">
        <f>IFERROR(INDEX(Logs!$B$2:$B$500,MATCH('Beneficiaries (6)'!$B17,Logs!$A$2:$A$500,0)),"")</f>
        <v>Dimakatso</v>
      </c>
      <c r="D17" s="107" t="str">
        <f>IFERROR(INDEX(Logs!$C$2:$C$500,MATCH('Beneficiaries (6)'!$B17,Logs!$A$2:$A$500,0)),"")</f>
        <v>Ngubo</v>
      </c>
      <c r="E17" s="108" t="str">
        <f>IFERROR(INDEX(Logs!$D$2:$D$500,MATCH('Beneficiaries (6)'!$B17,Logs!$A$2:$A$500,0)),"")</f>
        <v>8302181060080</v>
      </c>
      <c r="F17" s="73" t="s">
        <v>761</v>
      </c>
      <c r="G17" s="101" t="str">
        <f t="shared" si="0"/>
        <v>F</v>
      </c>
      <c r="H17" s="72" t="s">
        <v>761</v>
      </c>
      <c r="I17" s="72" t="s">
        <v>762</v>
      </c>
      <c r="J17" s="111" t="str">
        <f>IFERROR(INDEX(Logs!$E$2:$E$500,MATCH('Beneficiaries (6)'!$B17,Logs!$A$2:$A$500,0)),"")</f>
        <v>15/05/0014</v>
      </c>
      <c r="K17" s="111" t="str">
        <f>IFERROR(INDEX(Logs!$F$2:$F$500,MATCH('Beneficiaries (6)'!$B17,Logs!$A$2:$A$500,0)),"")</f>
        <v>15/05/0036</v>
      </c>
      <c r="L17" s="111">
        <f>IFERROR(INDEX(Logs!$G$2:$G$500,MATCH('Beneficiaries (6)'!$B17,Logs!$A$2:$A$500,0)),0)</f>
        <v>22</v>
      </c>
      <c r="M17" s="72">
        <v>0</v>
      </c>
      <c r="N17" s="101">
        <f t="shared" si="3"/>
        <v>22</v>
      </c>
      <c r="O17" s="102">
        <f>IFERROR(INDEX(Logs!$H$2:$H$500,MATCH('Beneficiaries (6)'!$B17,Logs!$A$2:$A$500,0)),)</f>
        <v>204.16</v>
      </c>
      <c r="P17" s="103">
        <f t="shared" si="2"/>
        <v>4491.5199999999995</v>
      </c>
      <c r="Q17" s="95"/>
      <c r="R17" s="115"/>
    </row>
    <row r="18" spans="1:18" x14ac:dyDescent="0.2">
      <c r="A18" s="100" t="str">
        <f t="shared" si="1"/>
        <v/>
      </c>
      <c r="B18" s="72">
        <v>109</v>
      </c>
      <c r="C18" s="107" t="str">
        <f>IFERROR(INDEX(Logs!$B$2:$B$500,MATCH('Beneficiaries (6)'!$B18,Logs!$A$2:$A$500,0)),"")</f>
        <v>Nombuyiselo</v>
      </c>
      <c r="D18" s="107" t="str">
        <f>IFERROR(INDEX(Logs!$C$2:$C$500,MATCH('Beneficiaries (6)'!$B18,Logs!$A$2:$A$500,0)),"")</f>
        <v>Dyosi</v>
      </c>
      <c r="E18" s="108" t="str">
        <f>IFERROR(INDEX(Logs!$D$2:$D$500,MATCH('Beneficiaries (6)'!$B18,Logs!$A$2:$A$500,0)),"")</f>
        <v>7601190646081</v>
      </c>
      <c r="F18" s="73" t="s">
        <v>761</v>
      </c>
      <c r="G18" s="101" t="str">
        <f t="shared" si="0"/>
        <v>F</v>
      </c>
      <c r="H18" s="72" t="s">
        <v>761</v>
      </c>
      <c r="I18" s="72" t="s">
        <v>762</v>
      </c>
      <c r="J18" s="111" t="str">
        <f>IFERROR(INDEX(Logs!$E$2:$E$500,MATCH('Beneficiaries (6)'!$B18,Logs!$A$2:$A$500,0)),"")</f>
        <v>15/05/0014</v>
      </c>
      <c r="K18" s="111" t="str">
        <f>IFERROR(INDEX(Logs!$F$2:$F$500,MATCH('Beneficiaries (6)'!$B18,Logs!$A$2:$A$500,0)),"")</f>
        <v>15/05/0036</v>
      </c>
      <c r="L18" s="111">
        <f>IFERROR(INDEX(Logs!$G$2:$G$500,MATCH('Beneficiaries (6)'!$B18,Logs!$A$2:$A$500,0)),0)</f>
        <v>22</v>
      </c>
      <c r="M18" s="72">
        <v>0</v>
      </c>
      <c r="N18" s="101">
        <f t="shared" si="3"/>
        <v>22</v>
      </c>
      <c r="O18" s="102">
        <f>IFERROR(INDEX(Logs!$H$2:$H$500,MATCH('Beneficiaries (6)'!$B18,Logs!$A$2:$A$500,0)),)</f>
        <v>204.16</v>
      </c>
      <c r="P18" s="103">
        <f t="shared" si="2"/>
        <v>4491.5199999999995</v>
      </c>
      <c r="Q18" s="95"/>
      <c r="R18" s="115"/>
    </row>
    <row r="19" spans="1:18" x14ac:dyDescent="0.2">
      <c r="A19" s="100" t="str">
        <f t="shared" si="1"/>
        <v/>
      </c>
      <c r="B19" s="72">
        <v>110</v>
      </c>
      <c r="C19" s="107" t="str">
        <f>IFERROR(INDEX(Logs!$B$2:$B$500,MATCH('Beneficiaries (6)'!$B19,Logs!$A$2:$A$500,0)),"")</f>
        <v>Mapula</v>
      </c>
      <c r="D19" s="107" t="str">
        <f>IFERROR(INDEX(Logs!$C$2:$C$500,MATCH('Beneficiaries (6)'!$B19,Logs!$A$2:$A$500,0)),"")</f>
        <v>Lehata</v>
      </c>
      <c r="E19" s="108" t="str">
        <f>IFERROR(INDEX(Logs!$D$2:$D$500,MATCH('Beneficiaries (6)'!$B19,Logs!$A$2:$A$500,0)),"")</f>
        <v>8711010779084</v>
      </c>
      <c r="F19" s="73" t="s">
        <v>761</v>
      </c>
      <c r="G19" s="101" t="str">
        <f t="shared" si="0"/>
        <v>F</v>
      </c>
      <c r="H19" s="72" t="s">
        <v>761</v>
      </c>
      <c r="I19" s="72" t="s">
        <v>762</v>
      </c>
      <c r="J19" s="111" t="str">
        <f>IFERROR(INDEX(Logs!$E$2:$E$500,MATCH('Beneficiaries (6)'!$B19,Logs!$A$2:$A$500,0)),"")</f>
        <v>15/05/0014</v>
      </c>
      <c r="K19" s="111" t="str">
        <f>IFERROR(INDEX(Logs!$F$2:$F$500,MATCH('Beneficiaries (6)'!$B19,Logs!$A$2:$A$500,0)),"")</f>
        <v>15/05/0036</v>
      </c>
      <c r="L19" s="111">
        <f>IFERROR(INDEX(Logs!$G$2:$G$500,MATCH('Beneficiaries (6)'!$B19,Logs!$A$2:$A$500,0)),0)</f>
        <v>22</v>
      </c>
      <c r="M19" s="72">
        <v>0</v>
      </c>
      <c r="N19" s="101">
        <f t="shared" si="3"/>
        <v>22</v>
      </c>
      <c r="O19" s="102">
        <f>IFERROR(INDEX(Logs!$H$2:$H$500,MATCH('Beneficiaries (6)'!$B19,Logs!$A$2:$A$500,0)),)</f>
        <v>204.16</v>
      </c>
      <c r="P19" s="103">
        <f t="shared" si="2"/>
        <v>4491.5199999999995</v>
      </c>
      <c r="Q19" s="95"/>
      <c r="R19" s="115"/>
    </row>
    <row r="20" spans="1:18" x14ac:dyDescent="0.2">
      <c r="A20" s="100" t="str">
        <f t="shared" si="1"/>
        <v/>
      </c>
      <c r="B20" s="72">
        <v>111</v>
      </c>
      <c r="C20" s="107" t="str">
        <f>IFERROR(INDEX(Logs!$B$2:$B$500,MATCH('Beneficiaries (6)'!$B20,Logs!$A$2:$A$500,0)),"")</f>
        <v>Keneuoe</v>
      </c>
      <c r="D20" s="107" t="str">
        <f>IFERROR(INDEX(Logs!$C$2:$C$500,MATCH('Beneficiaries (6)'!$B20,Logs!$A$2:$A$500,0)),"")</f>
        <v>Sello-Ngcwangu</v>
      </c>
      <c r="E20" s="108" t="str">
        <f>IFERROR(INDEX(Logs!$D$2:$D$500,MATCH('Beneficiaries (6)'!$B20,Logs!$A$2:$A$500,0)),"")</f>
        <v>9507081134087</v>
      </c>
      <c r="F20" s="73" t="s">
        <v>761</v>
      </c>
      <c r="G20" s="101" t="str">
        <f t="shared" si="0"/>
        <v>F</v>
      </c>
      <c r="H20" s="72" t="s">
        <v>761</v>
      </c>
      <c r="I20" s="72" t="s">
        <v>762</v>
      </c>
      <c r="J20" s="111" t="str">
        <f>IFERROR(INDEX(Logs!$E$2:$E$500,MATCH('Beneficiaries (6)'!$B20,Logs!$A$2:$A$500,0)),"")</f>
        <v>15/05/0014</v>
      </c>
      <c r="K20" s="111" t="str">
        <f>IFERROR(INDEX(Logs!$F$2:$F$500,MATCH('Beneficiaries (6)'!$B20,Logs!$A$2:$A$500,0)),"")</f>
        <v>15/05/0036</v>
      </c>
      <c r="L20" s="111">
        <f>IFERROR(INDEX(Logs!$G$2:$G$500,MATCH('Beneficiaries (6)'!$B20,Logs!$A$2:$A$500,0)),0)</f>
        <v>22</v>
      </c>
      <c r="M20" s="72">
        <v>0</v>
      </c>
      <c r="N20" s="101">
        <f t="shared" si="3"/>
        <v>22</v>
      </c>
      <c r="O20" s="102">
        <f>IFERROR(INDEX(Logs!$H$2:$H$500,MATCH('Beneficiaries (6)'!$B20,Logs!$A$2:$A$500,0)),)</f>
        <v>218.08</v>
      </c>
      <c r="P20" s="103">
        <f t="shared" si="2"/>
        <v>4797.76</v>
      </c>
      <c r="Q20" s="95"/>
    </row>
    <row r="21" spans="1:18" x14ac:dyDescent="0.2">
      <c r="A21" s="100" t="str">
        <f t="shared" si="1"/>
        <v/>
      </c>
      <c r="B21" s="72">
        <v>112</v>
      </c>
      <c r="C21" s="107" t="str">
        <f>IFERROR(INDEX(Logs!$B$2:$B$500,MATCH('Beneficiaries (6)'!$B21,Logs!$A$2:$A$500,0)),"")</f>
        <v>Nosicelo</v>
      </c>
      <c r="D21" s="107" t="str">
        <f>IFERROR(INDEX(Logs!$C$2:$C$500,MATCH('Beneficiaries (6)'!$B21,Logs!$A$2:$A$500,0)),"")</f>
        <v>Cimela</v>
      </c>
      <c r="E21" s="108" t="str">
        <f>IFERROR(INDEX(Logs!$D$2:$D$500,MATCH('Beneficiaries (6)'!$B21,Logs!$A$2:$A$500,0)),"")</f>
        <v>8504200012089</v>
      </c>
      <c r="F21" s="73" t="s">
        <v>761</v>
      </c>
      <c r="G21" s="101" t="str">
        <f t="shared" si="0"/>
        <v>F</v>
      </c>
      <c r="H21" s="72" t="s">
        <v>761</v>
      </c>
      <c r="I21" s="72" t="s">
        <v>762</v>
      </c>
      <c r="J21" s="111" t="str">
        <f>IFERROR(INDEX(Logs!$E$2:$E$500,MATCH('Beneficiaries (6)'!$B21,Logs!$A$2:$A$500,0)),"")</f>
        <v>15/05/0014</v>
      </c>
      <c r="K21" s="111" t="str">
        <f>IFERROR(INDEX(Logs!$F$2:$F$500,MATCH('Beneficiaries (6)'!$B21,Logs!$A$2:$A$500,0)),"")</f>
        <v>15/05/0036</v>
      </c>
      <c r="L21" s="111">
        <f>IFERROR(INDEX(Logs!$G$2:$G$500,MATCH('Beneficiaries (6)'!$B21,Logs!$A$2:$A$500,0)),0)</f>
        <v>22</v>
      </c>
      <c r="M21" s="72">
        <v>0</v>
      </c>
      <c r="N21" s="101">
        <f t="shared" si="3"/>
        <v>22</v>
      </c>
      <c r="O21" s="102">
        <f>IFERROR(INDEX(Logs!$H$2:$H$500,MATCH('Beneficiaries (6)'!$B21,Logs!$A$2:$A$500,0)),)</f>
        <v>204.16</v>
      </c>
      <c r="P21" s="103">
        <f t="shared" si="2"/>
        <v>4491.5199999999995</v>
      </c>
      <c r="Q21" s="95"/>
    </row>
    <row r="22" spans="1:18" x14ac:dyDescent="0.2">
      <c r="A22" s="100" t="str">
        <f t="shared" si="1"/>
        <v/>
      </c>
      <c r="B22" s="72">
        <v>113</v>
      </c>
      <c r="C22" s="109" t="str">
        <f>IFERROR(INDEX(Logs!$B$2:$B$500,MATCH('Beneficiaries (6)'!$B22,Logs!$A$2:$A$500,0)),"")</f>
        <v>Mda</v>
      </c>
      <c r="D22" s="107" t="str">
        <f>IFERROR(INDEX(Logs!$C$2:$C$500,MATCH('Beneficiaries (6)'!$B22,Logs!$A$2:$A$500,0)),"")</f>
        <v>Mavume</v>
      </c>
      <c r="E22" s="108" t="str">
        <f>IFERROR(INDEX(Logs!$D$2:$D$500,MATCH('Beneficiaries (6)'!$B22,Logs!$A$2:$A$500,0)),"")</f>
        <v>8106265722089</v>
      </c>
      <c r="F22" s="73" t="s">
        <v>761</v>
      </c>
      <c r="G22" s="101" t="str">
        <f t="shared" si="0"/>
        <v>M</v>
      </c>
      <c r="H22" s="72" t="s">
        <v>761</v>
      </c>
      <c r="I22" s="72" t="s">
        <v>762</v>
      </c>
      <c r="J22" s="111" t="str">
        <f>IFERROR(INDEX(Logs!$E$2:$E$500,MATCH('Beneficiaries (6)'!$B22,Logs!$A$2:$A$500,0)),"")</f>
        <v>15/05/0014</v>
      </c>
      <c r="K22" s="111" t="str">
        <f>IFERROR(INDEX(Logs!$F$2:$F$500,MATCH('Beneficiaries (6)'!$B22,Logs!$A$2:$A$500,0)),"")</f>
        <v>15/05/0036</v>
      </c>
      <c r="L22" s="111">
        <f>IFERROR(INDEX(Logs!$G$2:$G$500,MATCH('Beneficiaries (6)'!$B22,Logs!$A$2:$A$500,0)),0)</f>
        <v>22</v>
      </c>
      <c r="M22" s="72">
        <v>0</v>
      </c>
      <c r="N22" s="101">
        <f t="shared" si="3"/>
        <v>22</v>
      </c>
      <c r="O22" s="102">
        <f>IFERROR(INDEX(Logs!$H$2:$H$500,MATCH('Beneficiaries (6)'!$B22,Logs!$A$2:$A$500,0)),)</f>
        <v>204.16</v>
      </c>
      <c r="P22" s="103">
        <f t="shared" si="2"/>
        <v>4491.5199999999995</v>
      </c>
      <c r="Q22" s="95"/>
    </row>
    <row r="23" spans="1:18" x14ac:dyDescent="0.2">
      <c r="A23" s="100" t="str">
        <f t="shared" si="1"/>
        <v/>
      </c>
      <c r="B23" s="72">
        <v>114</v>
      </c>
      <c r="C23" s="109" t="str">
        <f>IFERROR(INDEX(Logs!$B$2:$B$500,MATCH('Beneficiaries (6)'!$B23,Logs!$A$2:$A$500,0)),"")</f>
        <v>Siphe</v>
      </c>
      <c r="D23" s="107" t="str">
        <f>IFERROR(INDEX(Logs!$C$2:$C$500,MATCH('Beneficiaries (6)'!$B23,Logs!$A$2:$A$500,0)),"")</f>
        <v>Gevenga</v>
      </c>
      <c r="E23" s="108" t="str">
        <f>IFERROR(INDEX(Logs!$D$2:$D$500,MATCH('Beneficiaries (6)'!$B23,Logs!$A$2:$A$500,0)),"")</f>
        <v>8905106277082</v>
      </c>
      <c r="F23" s="73" t="s">
        <v>761</v>
      </c>
      <c r="G23" s="101" t="str">
        <f t="shared" si="0"/>
        <v>M</v>
      </c>
      <c r="H23" s="72" t="s">
        <v>761</v>
      </c>
      <c r="I23" s="72" t="s">
        <v>762</v>
      </c>
      <c r="J23" s="111" t="str">
        <f>IFERROR(INDEX(Logs!$E$2:$E$500,MATCH('Beneficiaries (6)'!$B23,Logs!$A$2:$A$500,0)),"")</f>
        <v>15/05/0010</v>
      </c>
      <c r="K23" s="111" t="str">
        <f>IFERROR(INDEX(Logs!$F$2:$F$500,MATCH('Beneficiaries (6)'!$B23,Logs!$A$2:$A$500,0)),"")</f>
        <v>15/05/0036</v>
      </c>
      <c r="L23" s="111">
        <f>IFERROR(INDEX(Logs!$G$2:$G$500,MATCH('Beneficiaries (6)'!$B23,Logs!$A$2:$A$500,0)),0)</f>
        <v>22</v>
      </c>
      <c r="M23" s="72">
        <v>0</v>
      </c>
      <c r="N23" s="101">
        <f t="shared" si="3"/>
        <v>22</v>
      </c>
      <c r="O23" s="102">
        <f>IFERROR(INDEX(Logs!$H$2:$H$500,MATCH('Beneficiaries (6)'!$B23,Logs!$A$2:$A$500,0)),)</f>
        <v>218.08</v>
      </c>
      <c r="P23" s="103">
        <f t="shared" si="2"/>
        <v>4797.76</v>
      </c>
      <c r="Q23" s="95"/>
    </row>
    <row r="24" spans="1:18" x14ac:dyDescent="0.2">
      <c r="A24" s="100" t="str">
        <f t="shared" si="1"/>
        <v/>
      </c>
      <c r="B24" s="72">
        <v>115</v>
      </c>
      <c r="C24" s="109" t="str">
        <f>IFERROR(INDEX(Logs!$B$2:$B$500,MATCH('Beneficiaries (6)'!$B24,Logs!$A$2:$A$500,0)),"")</f>
        <v>Nokuzola</v>
      </c>
      <c r="D24" s="107" t="str">
        <f>IFERROR(INDEX(Logs!$C$2:$C$500,MATCH('Beneficiaries (6)'!$B24,Logs!$A$2:$A$500,0)),"")</f>
        <v>Gubudu</v>
      </c>
      <c r="E24" s="108" t="str">
        <f>IFERROR(INDEX(Logs!$D$2:$D$500,MATCH('Beneficiaries (6)'!$B24,Logs!$A$2:$A$500,0)),"")</f>
        <v>7004150822083</v>
      </c>
      <c r="F24" s="73" t="s">
        <v>761</v>
      </c>
      <c r="G24" s="101" t="str">
        <f t="shared" si="0"/>
        <v>F</v>
      </c>
      <c r="H24" s="72" t="s">
        <v>761</v>
      </c>
      <c r="I24" s="72" t="s">
        <v>762</v>
      </c>
      <c r="J24" s="111" t="str">
        <f>IFERROR(INDEX(Logs!$E$2:$E$500,MATCH('Beneficiaries (6)'!$B24,Logs!$A$2:$A$500,0)),"")</f>
        <v>14/06/0007</v>
      </c>
      <c r="K24" s="111" t="str">
        <f>IFERROR(INDEX(Logs!$F$2:$F$500,MATCH('Beneficiaries (6)'!$B24,Logs!$A$2:$A$500,0)),"")</f>
        <v>15/05/0036</v>
      </c>
      <c r="L24" s="111">
        <f>IFERROR(INDEX(Logs!$G$2:$G$500,MATCH('Beneficiaries (6)'!$B24,Logs!$A$2:$A$500,0)),0)</f>
        <v>22</v>
      </c>
      <c r="M24" s="72">
        <v>0</v>
      </c>
      <c r="N24" s="101">
        <f t="shared" si="3"/>
        <v>22</v>
      </c>
      <c r="O24" s="102">
        <f>IFERROR(INDEX(Logs!$H$2:$H$500,MATCH('Beneficiaries (6)'!$B24,Logs!$A$2:$A$500,0)),)</f>
        <v>204.16</v>
      </c>
      <c r="P24" s="103">
        <f t="shared" si="2"/>
        <v>4491.5199999999995</v>
      </c>
      <c r="Q24" s="95"/>
    </row>
    <row r="25" spans="1:18" x14ac:dyDescent="0.2">
      <c r="A25" s="100" t="str">
        <f t="shared" si="1"/>
        <v/>
      </c>
      <c r="B25" s="72">
        <v>116</v>
      </c>
      <c r="C25" s="110" t="str">
        <f>IFERROR(INDEX(Logs!$B$2:$B$500,MATCH('Beneficiaries (6)'!$B25,Logs!$A$2:$A$500,0)),"")</f>
        <v>Zandiswa</v>
      </c>
      <c r="D25" s="107" t="str">
        <f>IFERROR(INDEX(Logs!$C$2:$C$500,MATCH('Beneficiaries (6)'!$B25,Logs!$A$2:$A$500,0)),"")</f>
        <v>Giwantsha</v>
      </c>
      <c r="E25" s="108" t="str">
        <f>IFERROR(INDEX(Logs!$D$2:$D$500,MATCH('Beneficiaries (6)'!$B25,Logs!$A$2:$A$500,0)),"")</f>
        <v>8608151327089</v>
      </c>
      <c r="F25" s="73" t="s">
        <v>761</v>
      </c>
      <c r="G25" s="101" t="str">
        <f t="shared" si="0"/>
        <v>F</v>
      </c>
      <c r="H25" s="72" t="s">
        <v>761</v>
      </c>
      <c r="I25" s="72" t="s">
        <v>762</v>
      </c>
      <c r="J25" s="111" t="str">
        <f>IFERROR(INDEX(Logs!$E$2:$E$500,MATCH('Beneficiaries (6)'!$B25,Logs!$A$2:$A$500,0)),"")</f>
        <v>14/06/0007</v>
      </c>
      <c r="K25" s="111" t="str">
        <f>IFERROR(INDEX(Logs!$F$2:$F$500,MATCH('Beneficiaries (6)'!$B25,Logs!$A$2:$A$500,0)),"")</f>
        <v>15/05/0036</v>
      </c>
      <c r="L25" s="111">
        <f>IFERROR(INDEX(Logs!$G$2:$G$500,MATCH('Beneficiaries (6)'!$B25,Logs!$A$2:$A$500,0)),0)</f>
        <v>22</v>
      </c>
      <c r="M25" s="72">
        <v>0</v>
      </c>
      <c r="N25" s="101">
        <f t="shared" si="3"/>
        <v>22</v>
      </c>
      <c r="O25" s="102">
        <f>IFERROR(INDEX(Logs!$H$2:$H$500,MATCH('Beneficiaries (6)'!$B25,Logs!$A$2:$A$500,0)),)</f>
        <v>204.16</v>
      </c>
      <c r="P25" s="103">
        <f t="shared" si="2"/>
        <v>4491.5199999999995</v>
      </c>
      <c r="Q25" s="95"/>
    </row>
    <row r="26" spans="1:18" x14ac:dyDescent="0.2">
      <c r="A26" s="100" t="str">
        <f t="shared" si="1"/>
        <v/>
      </c>
      <c r="B26" s="72">
        <v>117</v>
      </c>
      <c r="C26" s="110" t="str">
        <f>IFERROR(INDEX(Logs!$B$2:$B$500,MATCH('Beneficiaries (6)'!$B26,Logs!$A$2:$A$500,0)),"")</f>
        <v>Zuzeka</v>
      </c>
      <c r="D26" s="107" t="str">
        <f>IFERROR(INDEX(Logs!$C$2:$C$500,MATCH('Beneficiaries (6)'!$B26,Logs!$A$2:$A$500,0)),"")</f>
        <v>Mpoba-Jezile</v>
      </c>
      <c r="E26" s="108" t="str">
        <f>IFERROR(INDEX(Logs!$D$2:$D$500,MATCH('Beneficiaries (6)'!$B26,Logs!$A$2:$A$500,0)),"")</f>
        <v>7806161089084</v>
      </c>
      <c r="F26" s="73" t="s">
        <v>761</v>
      </c>
      <c r="G26" s="101" t="str">
        <f t="shared" si="0"/>
        <v>F</v>
      </c>
      <c r="H26" s="72" t="s">
        <v>761</v>
      </c>
      <c r="I26" s="72" t="s">
        <v>762</v>
      </c>
      <c r="J26" s="111" t="str">
        <f>IFERROR(INDEX(Logs!$E$2:$E$500,MATCH('Beneficiaries (6)'!$B26,Logs!$A$2:$A$500,0)),"")</f>
        <v>14/06/0007</v>
      </c>
      <c r="K26" s="111" t="str">
        <f>IFERROR(INDEX(Logs!$F$2:$F$500,MATCH('Beneficiaries (6)'!$B26,Logs!$A$2:$A$500,0)),"")</f>
        <v>15/05/0036</v>
      </c>
      <c r="L26" s="111">
        <f>IFERROR(INDEX(Logs!$G$2:$G$500,MATCH('Beneficiaries (6)'!$B26,Logs!$A$2:$A$500,0)),0)</f>
        <v>22</v>
      </c>
      <c r="M26" s="72">
        <v>0</v>
      </c>
      <c r="N26" s="101">
        <f t="shared" si="3"/>
        <v>22</v>
      </c>
      <c r="O26" s="102">
        <f>IFERROR(INDEX(Logs!$H$2:$H$500,MATCH('Beneficiaries (6)'!$B26,Logs!$A$2:$A$500,0)),)</f>
        <v>204.16</v>
      </c>
      <c r="P26" s="103">
        <f t="shared" si="2"/>
        <v>4491.5199999999995</v>
      </c>
      <c r="Q26" s="95"/>
    </row>
    <row r="27" spans="1:18" x14ac:dyDescent="0.2">
      <c r="A27" s="100" t="str">
        <f t="shared" si="1"/>
        <v/>
      </c>
      <c r="B27" s="72">
        <v>118</v>
      </c>
      <c r="C27" s="110" t="str">
        <f>IFERROR(INDEX(Logs!$B$2:$B$500,MATCH('Beneficiaries (6)'!$B27,Logs!$A$2:$A$500,0)),"")</f>
        <v>Phumeza</v>
      </c>
      <c r="D27" s="107" t="str">
        <f>IFERROR(INDEX(Logs!$C$2:$C$500,MATCH('Beneficiaries (6)'!$B27,Logs!$A$2:$A$500,0)),"")</f>
        <v>Siko</v>
      </c>
      <c r="E27" s="108" t="str">
        <f>IFERROR(INDEX(Logs!$D$2:$D$500,MATCH('Beneficiaries (6)'!$B27,Logs!$A$2:$A$500,0)),"")</f>
        <v>7909151214082</v>
      </c>
      <c r="F27" s="73" t="s">
        <v>761</v>
      </c>
      <c r="G27" s="101" t="str">
        <f t="shared" si="0"/>
        <v>F</v>
      </c>
      <c r="H27" s="72" t="s">
        <v>761</v>
      </c>
      <c r="I27" s="72" t="s">
        <v>762</v>
      </c>
      <c r="J27" s="111" t="str">
        <f>IFERROR(INDEX(Logs!$E$2:$E$500,MATCH('Beneficiaries (6)'!$B27,Logs!$A$2:$A$500,0)),"")</f>
        <v>14/06/0007</v>
      </c>
      <c r="K27" s="111" t="str">
        <f>IFERROR(INDEX(Logs!$F$2:$F$500,MATCH('Beneficiaries (6)'!$B27,Logs!$A$2:$A$500,0)),"")</f>
        <v>15/05/0036</v>
      </c>
      <c r="L27" s="111">
        <f>IFERROR(INDEX(Logs!$G$2:$G$500,MATCH('Beneficiaries (6)'!$B27,Logs!$A$2:$A$500,0)),0)</f>
        <v>22</v>
      </c>
      <c r="M27" s="72">
        <v>0</v>
      </c>
      <c r="N27" s="101">
        <f t="shared" si="3"/>
        <v>22</v>
      </c>
      <c r="O27" s="102">
        <f>IFERROR(INDEX(Logs!$H$2:$H$500,MATCH('Beneficiaries (6)'!$B27,Logs!$A$2:$A$500,0)),)</f>
        <v>204.16</v>
      </c>
      <c r="P27" s="103">
        <f t="shared" si="2"/>
        <v>4491.5199999999995</v>
      </c>
      <c r="Q27" s="95"/>
    </row>
    <row r="28" spans="1:18" x14ac:dyDescent="0.2">
      <c r="A28" s="100" t="str">
        <f t="shared" si="1"/>
        <v/>
      </c>
      <c r="B28" s="72">
        <v>119</v>
      </c>
      <c r="C28" s="110" t="str">
        <f>IFERROR(INDEX(Logs!$B$2:$B$500,MATCH('Beneficiaries (6)'!$B28,Logs!$A$2:$A$500,0)),"")</f>
        <v>Nondumiso</v>
      </c>
      <c r="D28" s="107" t="str">
        <f>IFERROR(INDEX(Logs!$C$2:$C$500,MATCH('Beneficiaries (6)'!$B28,Logs!$A$2:$A$500,0)),"")</f>
        <v>Mdawe</v>
      </c>
      <c r="E28" s="108" t="str">
        <f>IFERROR(INDEX(Logs!$D$2:$D$500,MATCH('Beneficiaries (6)'!$B28,Logs!$A$2:$A$500,0)),"")</f>
        <v>7511040182080</v>
      </c>
      <c r="F28" s="73" t="s">
        <v>761</v>
      </c>
      <c r="G28" s="101" t="str">
        <f t="shared" si="0"/>
        <v>F</v>
      </c>
      <c r="H28" s="72" t="s">
        <v>761</v>
      </c>
      <c r="I28" s="72" t="s">
        <v>762</v>
      </c>
      <c r="J28" s="111" t="str">
        <f>IFERROR(INDEX(Logs!$E$2:$E$500,MATCH('Beneficiaries (6)'!$B28,Logs!$A$2:$A$500,0)),"")</f>
        <v>14/06/0007</v>
      </c>
      <c r="K28" s="111" t="str">
        <f>IFERROR(INDEX(Logs!$F$2:$F$500,MATCH('Beneficiaries (6)'!$B28,Logs!$A$2:$A$500,0)),"")</f>
        <v>15/05/0036</v>
      </c>
      <c r="L28" s="111">
        <f>IFERROR(INDEX(Logs!$G$2:$G$500,MATCH('Beneficiaries (6)'!$B28,Logs!$A$2:$A$500,0)),0)</f>
        <v>22</v>
      </c>
      <c r="M28" s="72">
        <v>0</v>
      </c>
      <c r="N28" s="101">
        <f t="shared" si="3"/>
        <v>22</v>
      </c>
      <c r="O28" s="102">
        <f>IFERROR(INDEX(Logs!$H$2:$H$500,MATCH('Beneficiaries (6)'!$B28,Logs!$A$2:$A$500,0)),)</f>
        <v>204.16</v>
      </c>
      <c r="P28" s="103">
        <f t="shared" si="2"/>
        <v>4491.5199999999995</v>
      </c>
      <c r="Q28" s="95"/>
    </row>
    <row r="29" spans="1:18" x14ac:dyDescent="0.2">
      <c r="A29" s="100" t="str">
        <f t="shared" si="1"/>
        <v/>
      </c>
      <c r="B29" s="72">
        <v>120</v>
      </c>
      <c r="C29" s="110" t="str">
        <f>IFERROR(INDEX(Logs!$B$2:$B$500,MATCH('Beneficiaries (6)'!$B29,Logs!$A$2:$A$500,0)),"")</f>
        <v>Fundiswa</v>
      </c>
      <c r="D29" s="110" t="str">
        <f>IFERROR(INDEX(Logs!$C$2:$C$500,MATCH('Beneficiaries (6)'!$B29,Logs!$A$2:$A$500,0)),"")</f>
        <v>Yawa</v>
      </c>
      <c r="E29" s="108" t="str">
        <f>IFERROR(INDEX(Logs!$D$2:$D$500,MATCH('Beneficiaries (6)'!$B29,Logs!$A$2:$A$500,0)),"")</f>
        <v>7601080572082</v>
      </c>
      <c r="F29" s="73" t="s">
        <v>761</v>
      </c>
      <c r="G29" s="101" t="str">
        <f t="shared" si="0"/>
        <v>F</v>
      </c>
      <c r="H29" s="72" t="s">
        <v>761</v>
      </c>
      <c r="I29" s="72" t="s">
        <v>762</v>
      </c>
      <c r="J29" s="111" t="str">
        <f>IFERROR(INDEX(Logs!$E$2:$E$500,MATCH('Beneficiaries (6)'!$B29,Logs!$A$2:$A$500,0)),"")</f>
        <v>14/06/0007</v>
      </c>
      <c r="K29" s="111" t="str">
        <f>IFERROR(INDEX(Logs!$F$2:$F$500,MATCH('Beneficiaries (6)'!$B29,Logs!$A$2:$A$500,0)),"")</f>
        <v>15/05/0036</v>
      </c>
      <c r="L29" s="111">
        <f>IFERROR(INDEX(Logs!$G$2:$G$500,MATCH('Beneficiaries (6)'!$B29,Logs!$A$2:$A$500,0)),0)</f>
        <v>22</v>
      </c>
      <c r="M29" s="72">
        <v>0</v>
      </c>
      <c r="N29" s="101">
        <f t="shared" si="3"/>
        <v>22</v>
      </c>
      <c r="O29" s="102">
        <f>IFERROR(INDEX(Logs!$H$2:$H$500,MATCH('Beneficiaries (6)'!$B29,Logs!$A$2:$A$500,0)),)</f>
        <v>204.16</v>
      </c>
      <c r="P29" s="103">
        <f t="shared" si="2"/>
        <v>4491.5199999999995</v>
      </c>
      <c r="Q29" s="95"/>
    </row>
    <row r="30" spans="1:18" x14ac:dyDescent="0.2"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104">
        <f>SUM(L10:L29)</f>
        <v>440</v>
      </c>
      <c r="M30" s="104">
        <f>SUM(M10:M29)</f>
        <v>0</v>
      </c>
      <c r="N30" s="104">
        <f>SUM(N10:N29)</f>
        <v>440</v>
      </c>
      <c r="O30" s="105">
        <f>SUM(O10:O29)</f>
        <v>4111.0399999999991</v>
      </c>
      <c r="P30" s="106">
        <f>SUM(P10:P29)</f>
        <v>90442.880000000005</v>
      </c>
      <c r="Q30" s="97"/>
    </row>
    <row r="31" spans="1:18" ht="27" customHeight="1" x14ac:dyDescent="0.2">
      <c r="B31" s="217" t="s">
        <v>98</v>
      </c>
      <c r="C31" s="217"/>
      <c r="D31" s="98" t="s">
        <v>97</v>
      </c>
      <c r="E31" s="218" t="str">
        <f>Project!$G$30</f>
        <v>Benjamin Milandou-Loubeka</v>
      </c>
      <c r="F31" s="218"/>
      <c r="G31" s="218"/>
      <c r="H31" s="219" t="s">
        <v>101</v>
      </c>
      <c r="I31" s="220"/>
      <c r="J31" s="220"/>
      <c r="K31" s="220"/>
      <c r="L31" s="220"/>
      <c r="M31" s="220"/>
      <c r="N31" s="220"/>
      <c r="O31" s="220"/>
      <c r="P31" s="220"/>
      <c r="Q31" s="87"/>
    </row>
    <row r="32" spans="1:18" ht="27" customHeight="1" x14ac:dyDescent="0.2">
      <c r="B32" s="217"/>
      <c r="C32" s="217"/>
      <c r="D32" s="98" t="s">
        <v>100</v>
      </c>
      <c r="E32" s="221">
        <f>Project!$AN$1</f>
        <v>45199</v>
      </c>
      <c r="F32" s="221"/>
      <c r="G32" s="221"/>
      <c r="H32" s="219"/>
      <c r="I32" s="220"/>
      <c r="J32" s="220"/>
      <c r="K32" s="220"/>
      <c r="L32" s="220"/>
      <c r="M32" s="220"/>
      <c r="N32" s="220"/>
      <c r="O32" s="220"/>
      <c r="P32" s="220"/>
      <c r="Q32" s="87"/>
    </row>
    <row r="33" spans="2:17" ht="14.25" customHeight="1" x14ac:dyDescent="0.2">
      <c r="B33" s="88"/>
      <c r="C33" s="88"/>
      <c r="D33" s="99"/>
      <c r="E33" s="87"/>
      <c r="F33" s="87"/>
      <c r="G33" s="87"/>
      <c r="H33" s="81"/>
      <c r="I33" s="87"/>
      <c r="J33" s="87"/>
      <c r="K33" s="87"/>
      <c r="L33" s="87"/>
      <c r="M33" s="87"/>
      <c r="N33" s="87"/>
      <c r="O33" s="87"/>
      <c r="P33" s="87"/>
      <c r="Q33" s="87"/>
    </row>
    <row r="34" spans="2:17" ht="27" customHeight="1" x14ac:dyDescent="0.2">
      <c r="B34" s="217" t="s">
        <v>99</v>
      </c>
      <c r="C34" s="217"/>
      <c r="D34" s="98" t="s">
        <v>97</v>
      </c>
      <c r="E34" s="220"/>
      <c r="F34" s="220"/>
      <c r="G34" s="220"/>
      <c r="H34" s="219" t="s">
        <v>101</v>
      </c>
      <c r="I34" s="220"/>
      <c r="J34" s="220"/>
      <c r="K34" s="220"/>
      <c r="L34" s="220"/>
      <c r="M34" s="220"/>
      <c r="N34" s="220"/>
      <c r="O34" s="220"/>
      <c r="P34" s="220"/>
      <c r="Q34" s="87"/>
    </row>
    <row r="35" spans="2:17" ht="27" customHeight="1" x14ac:dyDescent="0.2">
      <c r="B35" s="217"/>
      <c r="C35" s="217"/>
      <c r="D35" s="98" t="s">
        <v>100</v>
      </c>
      <c r="E35" s="220"/>
      <c r="F35" s="220"/>
      <c r="G35" s="220"/>
      <c r="H35" s="219"/>
      <c r="I35" s="220"/>
      <c r="J35" s="220"/>
      <c r="K35" s="220"/>
      <c r="L35" s="220"/>
      <c r="M35" s="220"/>
      <c r="N35" s="220"/>
      <c r="O35" s="220"/>
      <c r="P35" s="220"/>
      <c r="Q35" s="87"/>
    </row>
    <row r="74" spans="2:2" x14ac:dyDescent="0.2">
      <c r="B74" s="87"/>
    </row>
  </sheetData>
  <sheetProtection algorithmName="SHA-512" hashValue="PzcpUNgjdY7k+Nrr+R4pb/QUYexVz6iVlKpIKRp7Uc0ubrFAyOW5JCJea/bjV5MpZ5SrE+YsM7Br0Q5wm6PqvQ==" saltValue="P164iPWOeIM/mqpCmuz1WQ==" spinCount="100000" sheet="1" selectLockedCells="1"/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conditionalFormatting sqref="C10:C21">
    <cfRule type="uniqueValues" dxfId="89" priority="9"/>
  </conditionalFormatting>
  <conditionalFormatting sqref="D10:D20">
    <cfRule type="uniqueValues" dxfId="88" priority="8"/>
  </conditionalFormatting>
  <conditionalFormatting sqref="D21:D28">
    <cfRule type="uniqueValues" dxfId="87" priority="7"/>
  </conditionalFormatting>
  <conditionalFormatting sqref="F10:F29">
    <cfRule type="expression" dxfId="86" priority="6">
      <formula>$C10=""</formula>
    </cfRule>
  </conditionalFormatting>
  <conditionalFormatting sqref="H10:I29">
    <cfRule type="expression" dxfId="85" priority="5">
      <formula>$C10=""</formula>
    </cfRule>
  </conditionalFormatting>
  <conditionalFormatting sqref="B10:B29">
    <cfRule type="expression" dxfId="84" priority="4">
      <formula>$C10=""</formula>
    </cfRule>
  </conditionalFormatting>
  <conditionalFormatting sqref="L10:L29">
    <cfRule type="cellIs" dxfId="83" priority="3" operator="equal">
      <formula>0</formula>
    </cfRule>
  </conditionalFormatting>
  <conditionalFormatting sqref="M10:N29">
    <cfRule type="expression" dxfId="82" priority="2">
      <formula>$C10=""</formula>
    </cfRule>
  </conditionalFormatting>
  <conditionalFormatting sqref="O10:P29">
    <cfRule type="expression" dxfId="81" priority="1">
      <formula>$C10=""</formula>
    </cfRule>
  </conditionalFormatting>
  <dataValidations count="1">
    <dataValidation allowBlank="1" showInputMessage="1" showErrorMessage="1" promptTitle="Month" sqref="I6" xr:uid="{1BB6026C-28D2-4362-96F8-4C67B6B1CE14}"/>
  </dataValidations>
  <pageMargins left="0.23622047244094491" right="0.23622047244094491" top="0.74803149606299213" bottom="0.74803149606299213" header="0.31496062992125984" footer="0.31496062992125984"/>
  <pageSetup paperSize="9" scale="86"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CA5D3-EA1D-44A6-AF62-BA5A0779151E}">
  <sheetPr codeName="Sheet21">
    <pageSetUpPr fitToPage="1"/>
  </sheetPr>
  <dimension ref="A1:R74"/>
  <sheetViews>
    <sheetView showGridLines="0" zoomScaleNormal="100" workbookViewId="0">
      <selection activeCell="B5" sqref="B5:C6"/>
    </sheetView>
  </sheetViews>
  <sheetFormatPr defaultColWidth="8.85546875" defaultRowHeight="12.75" x14ac:dyDescent="0.2"/>
  <cols>
    <col min="1" max="1" width="20.7109375" style="76" customWidth="1"/>
    <col min="2" max="2" width="4.42578125" style="80" customWidth="1"/>
    <col min="3" max="5" width="24.42578125" style="80" customWidth="1"/>
    <col min="6" max="6" width="10.140625" style="80" customWidth="1"/>
    <col min="7" max="9" width="8.85546875" style="80"/>
    <col min="10" max="11" width="10.140625" style="80" bestFit="1" customWidth="1"/>
    <col min="12" max="15" width="13.7109375" style="80" customWidth="1"/>
    <col min="16" max="17" width="14.5703125" style="80" customWidth="1"/>
    <col min="18" max="18" width="8.85546875" style="150"/>
    <col min="19" max="16384" width="8.85546875" style="80"/>
  </cols>
  <sheetData>
    <row r="1" spans="1:18" ht="15.75" x14ac:dyDescent="0.25">
      <c r="B1" s="77" t="s">
        <v>44</v>
      </c>
      <c r="C1" s="78"/>
      <c r="D1" s="78"/>
      <c r="E1" s="79" t="s">
        <v>1</v>
      </c>
      <c r="G1" s="78"/>
      <c r="H1" s="78"/>
      <c r="I1" s="78"/>
      <c r="R1" s="114">
        <f>IF(Beneficiaries!$P$30&gt;0,1,"")</f>
        <v>1</v>
      </c>
    </row>
    <row r="2" spans="1:18" ht="15.75" x14ac:dyDescent="0.25"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114">
        <f>IF('Beneficiaries (2)'!$P$30&gt;0,1,"")</f>
        <v>1</v>
      </c>
    </row>
    <row r="3" spans="1:18" x14ac:dyDescent="0.2">
      <c r="B3" s="210" t="s">
        <v>28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81"/>
      <c r="R3" s="114">
        <f>IF('Beneficiaries (3)'!$P$30&gt;0,1,"")</f>
        <v>1</v>
      </c>
    </row>
    <row r="4" spans="1:18" x14ac:dyDescent="0.2">
      <c r="C4" s="77"/>
      <c r="D4" s="77"/>
      <c r="E4" s="77"/>
      <c r="F4" s="77"/>
      <c r="G4" s="77"/>
      <c r="R4" s="114">
        <f>IF('Beneficiaries (4)'!$P$30&gt;0,1,"")</f>
        <v>1</v>
      </c>
    </row>
    <row r="5" spans="1:18" ht="12.75" customHeight="1" x14ac:dyDescent="0.2">
      <c r="B5" s="211" t="s">
        <v>12</v>
      </c>
      <c r="C5" s="212"/>
      <c r="D5" s="215" t="str">
        <f>Project!$Z$25</f>
        <v>WSDS/24/111i</v>
      </c>
      <c r="E5" s="215"/>
      <c r="F5" s="82"/>
      <c r="H5" s="83" t="s">
        <v>80</v>
      </c>
      <c r="I5" s="83" t="s">
        <v>81</v>
      </c>
      <c r="J5" s="77"/>
      <c r="K5" s="216" t="s">
        <v>78</v>
      </c>
      <c r="L5" s="216"/>
      <c r="M5" s="216"/>
      <c r="N5" s="85"/>
      <c r="O5" s="85"/>
      <c r="P5" s="77"/>
      <c r="Q5" s="77"/>
      <c r="R5" s="114">
        <f>IF('Beneficiaries (5)'!$P$30&gt;0,1,"")</f>
        <v>1</v>
      </c>
    </row>
    <row r="6" spans="1:18" x14ac:dyDescent="0.2">
      <c r="B6" s="213"/>
      <c r="C6" s="214"/>
      <c r="D6" s="215"/>
      <c r="E6" s="215"/>
      <c r="F6" s="82"/>
      <c r="H6" s="112" t="str">
        <f>TEXT(Project!$AN$1,"YYYY")</f>
        <v>2023</v>
      </c>
      <c r="I6" s="112" t="str">
        <f>TEXT(Project!$AN$1,"MMMM")</f>
        <v>September</v>
      </c>
      <c r="J6" s="86"/>
      <c r="K6" s="57">
        <v>1</v>
      </c>
      <c r="L6" s="84" t="s">
        <v>79</v>
      </c>
      <c r="M6" s="113">
        <f>IF(K6&gt;0,COUNT(R1:R20),"")</f>
        <v>14</v>
      </c>
      <c r="N6" s="85"/>
      <c r="O6" s="85"/>
      <c r="P6" s="87"/>
      <c r="Q6" s="87"/>
      <c r="R6" s="114">
        <f>IF('Beneficiaries (6)'!$P$30&gt;0,1,"")</f>
        <v>1</v>
      </c>
    </row>
    <row r="7" spans="1:18" x14ac:dyDescent="0.2">
      <c r="B7" s="88"/>
      <c r="C7" s="88"/>
      <c r="D7" s="88"/>
      <c r="E7" s="87"/>
      <c r="F7" s="87"/>
      <c r="H7" s="86"/>
      <c r="I7" s="86"/>
      <c r="J7" s="86"/>
      <c r="K7" s="87"/>
      <c r="L7" s="85"/>
      <c r="M7" s="85"/>
      <c r="N7" s="85"/>
      <c r="O7" s="85"/>
      <c r="P7" s="87"/>
      <c r="Q7" s="87"/>
      <c r="R7" s="114">
        <f>IF('Beneficiaries (7)'!$P$30&gt;0,1,"")</f>
        <v>1</v>
      </c>
    </row>
    <row r="8" spans="1:18" x14ac:dyDescent="0.2">
      <c r="B8" s="89"/>
      <c r="C8" s="90" t="s">
        <v>34</v>
      </c>
      <c r="D8" s="90" t="s">
        <v>34</v>
      </c>
      <c r="E8" s="90" t="s">
        <v>34</v>
      </c>
      <c r="F8" s="90" t="s">
        <v>35</v>
      </c>
      <c r="G8" s="89"/>
      <c r="H8" s="89"/>
      <c r="I8" s="90" t="s">
        <v>36</v>
      </c>
      <c r="J8" s="89"/>
      <c r="K8" s="90" t="s">
        <v>37</v>
      </c>
      <c r="L8" s="90" t="s">
        <v>38</v>
      </c>
      <c r="M8" s="90" t="s">
        <v>42</v>
      </c>
      <c r="N8" s="90"/>
      <c r="O8" s="90" t="s">
        <v>104</v>
      </c>
      <c r="P8" s="90"/>
      <c r="Q8" s="91"/>
      <c r="R8" s="114">
        <f>IF('Beneficiaries (8)'!$P$30&gt;0,1,"")</f>
        <v>1</v>
      </c>
    </row>
    <row r="9" spans="1:18" ht="45" x14ac:dyDescent="0.2">
      <c r="B9" s="92" t="s">
        <v>29</v>
      </c>
      <c r="C9" s="92" t="s">
        <v>30</v>
      </c>
      <c r="D9" s="92" t="s">
        <v>31</v>
      </c>
      <c r="E9" s="92" t="s">
        <v>32</v>
      </c>
      <c r="F9" s="93" t="s">
        <v>96</v>
      </c>
      <c r="G9" s="93" t="s">
        <v>33</v>
      </c>
      <c r="H9" s="93" t="s">
        <v>76</v>
      </c>
      <c r="I9" s="93" t="s">
        <v>77</v>
      </c>
      <c r="J9" s="93" t="s">
        <v>95</v>
      </c>
      <c r="K9" s="93" t="s">
        <v>94</v>
      </c>
      <c r="L9" s="93" t="s">
        <v>41</v>
      </c>
      <c r="M9" s="93" t="s">
        <v>103</v>
      </c>
      <c r="N9" s="93" t="s">
        <v>116</v>
      </c>
      <c r="O9" s="93" t="s">
        <v>102</v>
      </c>
      <c r="P9" s="93" t="s">
        <v>117</v>
      </c>
      <c r="Q9" s="94"/>
      <c r="R9" s="114">
        <f>IF('Beneficiaries (9)'!$P$30&gt;0,1,"")</f>
        <v>1</v>
      </c>
    </row>
    <row r="10" spans="1:18" x14ac:dyDescent="0.2">
      <c r="A10" s="100" t="str">
        <f>ID_Valid(E10)</f>
        <v/>
      </c>
      <c r="B10" s="72">
        <v>121</v>
      </c>
      <c r="C10" s="107" t="str">
        <f>IFERROR(INDEX(Logs!$B$2:$B$500,MATCH('Beneficiaries (7)'!$B10,Logs!$A$2:$A$500,0)),"")</f>
        <v>Patricia</v>
      </c>
      <c r="D10" s="107" t="str">
        <f>IFERROR(INDEX(Logs!$C$2:$C$500,MATCH('Beneficiaries (7)'!$B10,Logs!$A$2:$A$500,0)),"")</f>
        <v>Famfam</v>
      </c>
      <c r="E10" s="108" t="str">
        <f>IFERROR(INDEX(Logs!$D$2:$D$500,MATCH('Beneficiaries (7)'!$B10,Logs!$A$2:$A$500,0)),"")</f>
        <v>7203140753081</v>
      </c>
      <c r="F10" s="73" t="s">
        <v>761</v>
      </c>
      <c r="G10" s="101" t="str">
        <f t="shared" ref="G10:G29" si="0">TheGender(E10)</f>
        <v>F</v>
      </c>
      <c r="H10" s="72" t="s">
        <v>761</v>
      </c>
      <c r="I10" s="74" t="s">
        <v>762</v>
      </c>
      <c r="J10" s="110" t="str">
        <f>IFERROR(INDEX(Logs!$E$2:$E$500,MATCH('Beneficiaries (7)'!$B10,Logs!$A$2:$A$500,0)),"")</f>
        <v>14/06/0007</v>
      </c>
      <c r="K10" s="110" t="str">
        <f>IFERROR(INDEX(Logs!$F$2:$F$500,MATCH('Beneficiaries (7)'!$B10,Logs!$A$2:$A$500,0)),"")</f>
        <v>15/05/0036</v>
      </c>
      <c r="L10" s="111">
        <f>IFERROR(INDEX(Logs!$G$2:$G$500,MATCH('Beneficiaries (7)'!$B10,Logs!$A$2:$A$500,0)),0)</f>
        <v>22</v>
      </c>
      <c r="M10" s="72">
        <v>0</v>
      </c>
      <c r="N10" s="101">
        <f>M10+L10</f>
        <v>22</v>
      </c>
      <c r="O10" s="102">
        <f>IFERROR(INDEX(Logs!$H$2:$H$500,MATCH('Beneficiaries (7)'!$B10,Logs!$A$2:$A$500,0)),)</f>
        <v>204.16</v>
      </c>
      <c r="P10" s="103">
        <f>IFERROR(N10*O10,0)</f>
        <v>4491.5199999999995</v>
      </c>
      <c r="Q10" s="95"/>
      <c r="R10" s="114">
        <f>IF('Beneficiaries (10)'!$P$30&gt;0,1,"")</f>
        <v>1</v>
      </c>
    </row>
    <row r="11" spans="1:18" x14ac:dyDescent="0.2">
      <c r="A11" s="100" t="str">
        <f t="shared" ref="A11:A29" si="1">ID_Valid(E11)</f>
        <v>INVALID ID - Day</v>
      </c>
      <c r="B11" s="72">
        <v>122</v>
      </c>
      <c r="C11" s="107" t="str">
        <f>IFERROR(INDEX(Logs!$B$2:$B$500,MATCH('Beneficiaries (7)'!$B11,Logs!$A$2:$A$500,0)),"")</f>
        <v>Phumlani</v>
      </c>
      <c r="D11" s="107" t="str">
        <f>IFERROR(INDEX(Logs!$C$2:$C$500,MATCH('Beneficiaries (7)'!$B11,Logs!$A$2:$A$500,0)),"")</f>
        <v>Mpinge</v>
      </c>
      <c r="E11" s="108" t="str">
        <f>IFERROR(INDEX(Logs!$D$2:$D$500,MATCH('Beneficiaries (7)'!$B11,Logs!$A$2:$A$500,0)),"")</f>
        <v>861085831086</v>
      </c>
      <c r="F11" s="73" t="s">
        <v>761</v>
      </c>
      <c r="G11" s="101" t="str">
        <f t="shared" si="0"/>
        <v/>
      </c>
      <c r="H11" s="72" t="s">
        <v>761</v>
      </c>
      <c r="I11" s="72" t="s">
        <v>762</v>
      </c>
      <c r="J11" s="111" t="str">
        <f>IFERROR(INDEX(Logs!$E$2:$E$500,MATCH('Beneficiaries (7)'!$B11,Logs!$A$2:$A$500,0)),"")</f>
        <v>14/06/0007</v>
      </c>
      <c r="K11" s="111" t="str">
        <f>IFERROR(INDEX(Logs!$F$2:$F$500,MATCH('Beneficiaries (7)'!$B11,Logs!$A$2:$A$500,0)),"")</f>
        <v>15/05/0036</v>
      </c>
      <c r="L11" s="111">
        <f>IFERROR(INDEX(Logs!$G$2:$G$500,MATCH('Beneficiaries (7)'!$B11,Logs!$A$2:$A$500,0)),0)</f>
        <v>16</v>
      </c>
      <c r="M11" s="72">
        <v>0</v>
      </c>
      <c r="N11" s="101">
        <f>L11+M11</f>
        <v>16</v>
      </c>
      <c r="O11" s="102">
        <f>IFERROR(INDEX(Logs!$H$2:$H$500,MATCH('Beneficiaries (7)'!$B11,Logs!$A$2:$A$500,0)),)</f>
        <v>204.16</v>
      </c>
      <c r="P11" s="103">
        <f t="shared" ref="P11:P29" si="2">IFERROR(N11*O11,0)</f>
        <v>3266.56</v>
      </c>
      <c r="Q11" s="95"/>
      <c r="R11" s="114">
        <f>IF('Beneficiaries (11)'!$P$30&gt;0,1,"")</f>
        <v>1</v>
      </c>
    </row>
    <row r="12" spans="1:18" x14ac:dyDescent="0.2">
      <c r="A12" s="100" t="str">
        <f t="shared" si="1"/>
        <v/>
      </c>
      <c r="B12" s="72">
        <v>123</v>
      </c>
      <c r="C12" s="107" t="str">
        <f>IFERROR(INDEX(Logs!$B$2:$B$500,MATCH('Beneficiaries (7)'!$B12,Logs!$A$2:$A$500,0)),"")</f>
        <v>Sibongile</v>
      </c>
      <c r="D12" s="107" t="str">
        <f>IFERROR(INDEX(Logs!$C$2:$C$500,MATCH('Beneficiaries (7)'!$B12,Logs!$A$2:$A$500,0)),"")</f>
        <v>Nokutshaya</v>
      </c>
      <c r="E12" s="108" t="str">
        <f>IFERROR(INDEX(Logs!$D$2:$D$500,MATCH('Beneficiaries (7)'!$B12,Logs!$A$2:$A$500,0)),"")</f>
        <v>7809180776087</v>
      </c>
      <c r="F12" s="73" t="s">
        <v>761</v>
      </c>
      <c r="G12" s="101" t="str">
        <f t="shared" si="0"/>
        <v>F</v>
      </c>
      <c r="H12" s="72" t="s">
        <v>761</v>
      </c>
      <c r="I12" s="72" t="s">
        <v>762</v>
      </c>
      <c r="J12" s="111" t="str">
        <f>IFERROR(INDEX(Logs!$E$2:$E$500,MATCH('Beneficiaries (7)'!$B12,Logs!$A$2:$A$500,0)),"")</f>
        <v>14/06/0007</v>
      </c>
      <c r="K12" s="111" t="str">
        <f>IFERROR(INDEX(Logs!$F$2:$F$500,MATCH('Beneficiaries (7)'!$B12,Logs!$A$2:$A$500,0)),"")</f>
        <v>15/05/0036</v>
      </c>
      <c r="L12" s="111">
        <f>IFERROR(INDEX(Logs!$G$2:$G$500,MATCH('Beneficiaries (7)'!$B12,Logs!$A$2:$A$500,0)),0)</f>
        <v>16</v>
      </c>
      <c r="M12" s="72">
        <v>0</v>
      </c>
      <c r="N12" s="101">
        <f t="shared" ref="N12:N29" si="3">L12+M12</f>
        <v>16</v>
      </c>
      <c r="O12" s="102">
        <f>IFERROR(INDEX(Logs!$H$2:$H$500,MATCH('Beneficiaries (7)'!$B12,Logs!$A$2:$A$500,0)),)</f>
        <v>204.16</v>
      </c>
      <c r="P12" s="103">
        <f t="shared" si="2"/>
        <v>3266.56</v>
      </c>
      <c r="Q12" s="95"/>
      <c r="R12" s="114">
        <f>IF('Beneficiaries (12)'!$P$30&gt;0,1,"")</f>
        <v>1</v>
      </c>
    </row>
    <row r="13" spans="1:18" x14ac:dyDescent="0.2">
      <c r="A13" s="100" t="str">
        <f t="shared" si="1"/>
        <v/>
      </c>
      <c r="B13" s="72">
        <v>124</v>
      </c>
      <c r="C13" s="107" t="str">
        <f>IFERROR(INDEX(Logs!$B$2:$B$500,MATCH('Beneficiaries (7)'!$B13,Logs!$A$2:$A$500,0)),"")</f>
        <v>Nosisa</v>
      </c>
      <c r="D13" s="107" t="str">
        <f>IFERROR(INDEX(Logs!$C$2:$C$500,MATCH('Beneficiaries (7)'!$B13,Logs!$A$2:$A$500,0)),"")</f>
        <v>Sibetyu</v>
      </c>
      <c r="E13" s="108" t="str">
        <f>IFERROR(INDEX(Logs!$D$2:$D$500,MATCH('Beneficiaries (7)'!$B13,Logs!$A$2:$A$500,0)),"")</f>
        <v>7812270856082</v>
      </c>
      <c r="F13" s="73" t="s">
        <v>761</v>
      </c>
      <c r="G13" s="101" t="str">
        <f t="shared" si="0"/>
        <v>F</v>
      </c>
      <c r="H13" s="72" t="s">
        <v>761</v>
      </c>
      <c r="I13" s="72" t="s">
        <v>762</v>
      </c>
      <c r="J13" s="111" t="str">
        <f>IFERROR(INDEX(Logs!$E$2:$E$500,MATCH('Beneficiaries (7)'!$B13,Logs!$A$2:$A$500,0)),"")</f>
        <v>14/06/0007</v>
      </c>
      <c r="K13" s="111" t="str">
        <f>IFERROR(INDEX(Logs!$F$2:$F$500,MATCH('Beneficiaries (7)'!$B13,Logs!$A$2:$A$500,0)),"")</f>
        <v>15/05/0036</v>
      </c>
      <c r="L13" s="111">
        <f>IFERROR(INDEX(Logs!$G$2:$G$500,MATCH('Beneficiaries (7)'!$B13,Logs!$A$2:$A$500,0)),0)</f>
        <v>16</v>
      </c>
      <c r="M13" s="72">
        <v>0</v>
      </c>
      <c r="N13" s="101">
        <f t="shared" si="3"/>
        <v>16</v>
      </c>
      <c r="O13" s="102">
        <f>IFERROR(INDEX(Logs!$H$2:$H$500,MATCH('Beneficiaries (7)'!$B13,Logs!$A$2:$A$500,0)),)</f>
        <v>204.16</v>
      </c>
      <c r="P13" s="103">
        <f t="shared" si="2"/>
        <v>3266.56</v>
      </c>
      <c r="Q13" s="95"/>
      <c r="R13" s="114">
        <f>IF('Beneficiaries (13)'!$P$30&gt;0,1,"")</f>
        <v>1</v>
      </c>
    </row>
    <row r="14" spans="1:18" x14ac:dyDescent="0.2">
      <c r="A14" s="100" t="str">
        <f t="shared" si="1"/>
        <v/>
      </c>
      <c r="B14" s="72">
        <v>125</v>
      </c>
      <c r="C14" s="107" t="str">
        <f>IFERROR(INDEX(Logs!$B$2:$B$500,MATCH('Beneficiaries (7)'!$B14,Logs!$A$2:$A$500,0)),"")</f>
        <v>Zoliswa</v>
      </c>
      <c r="D14" s="107" t="str">
        <f>IFERROR(INDEX(Logs!$C$2:$C$500,MATCH('Beneficiaries (7)'!$B14,Logs!$A$2:$A$500,0)),"")</f>
        <v>Qamata</v>
      </c>
      <c r="E14" s="108" t="str">
        <f>IFERROR(INDEX(Logs!$D$2:$D$500,MATCH('Beneficiaries (7)'!$B14,Logs!$A$2:$A$500,0)),"")</f>
        <v>8211110935082</v>
      </c>
      <c r="F14" s="73" t="s">
        <v>761</v>
      </c>
      <c r="G14" s="101" t="str">
        <f t="shared" si="0"/>
        <v>F</v>
      </c>
      <c r="H14" s="72" t="s">
        <v>761</v>
      </c>
      <c r="I14" s="72" t="s">
        <v>762</v>
      </c>
      <c r="J14" s="111" t="str">
        <f>IFERROR(INDEX(Logs!$E$2:$E$500,MATCH('Beneficiaries (7)'!$B14,Logs!$A$2:$A$500,0)),"")</f>
        <v>14/06/0007</v>
      </c>
      <c r="K14" s="111" t="str">
        <f>IFERROR(INDEX(Logs!$F$2:$F$500,MATCH('Beneficiaries (7)'!$B14,Logs!$A$2:$A$500,0)),"")</f>
        <v>15/05/0036</v>
      </c>
      <c r="L14" s="111">
        <f>IFERROR(INDEX(Logs!$G$2:$G$500,MATCH('Beneficiaries (7)'!$B14,Logs!$A$2:$A$500,0)),0)</f>
        <v>16</v>
      </c>
      <c r="M14" s="72">
        <v>0</v>
      </c>
      <c r="N14" s="101">
        <f t="shared" si="3"/>
        <v>16</v>
      </c>
      <c r="O14" s="102">
        <f>IFERROR(INDEX(Logs!$H$2:$H$500,MATCH('Beneficiaries (7)'!$B14,Logs!$A$2:$A$500,0)),)</f>
        <v>204.16</v>
      </c>
      <c r="P14" s="103">
        <f t="shared" si="2"/>
        <v>3266.56</v>
      </c>
      <c r="Q14" s="95"/>
      <c r="R14" s="114">
        <f>IF('Beneficiaries (14)'!$P$30&gt;0,1,"")</f>
        <v>1</v>
      </c>
    </row>
    <row r="15" spans="1:18" x14ac:dyDescent="0.2">
      <c r="A15" s="100" t="str">
        <f t="shared" si="1"/>
        <v/>
      </c>
      <c r="B15" s="72">
        <v>126</v>
      </c>
      <c r="C15" s="107" t="str">
        <f>IFERROR(INDEX(Logs!$B$2:$B$500,MATCH('Beneficiaries (7)'!$B15,Logs!$A$2:$A$500,0)),"")</f>
        <v>Funeka</v>
      </c>
      <c r="D15" s="107" t="str">
        <f>IFERROR(INDEX(Logs!$C$2:$C$500,MATCH('Beneficiaries (7)'!$B15,Logs!$A$2:$A$500,0)),"")</f>
        <v>Ngaka</v>
      </c>
      <c r="E15" s="108" t="str">
        <f>IFERROR(INDEX(Logs!$D$2:$D$500,MATCH('Beneficiaries (7)'!$B15,Logs!$A$2:$A$500,0)),"")</f>
        <v>8011111280086</v>
      </c>
      <c r="F15" s="73" t="s">
        <v>761</v>
      </c>
      <c r="G15" s="101" t="str">
        <f t="shared" si="0"/>
        <v>F</v>
      </c>
      <c r="H15" s="72" t="s">
        <v>761</v>
      </c>
      <c r="I15" s="72" t="s">
        <v>762</v>
      </c>
      <c r="J15" s="111" t="str">
        <f>IFERROR(INDEX(Logs!$E$2:$E$500,MATCH('Beneficiaries (7)'!$B15,Logs!$A$2:$A$500,0)),"")</f>
        <v>14/06/0007</v>
      </c>
      <c r="K15" s="111" t="str">
        <f>IFERROR(INDEX(Logs!$F$2:$F$500,MATCH('Beneficiaries (7)'!$B15,Logs!$A$2:$A$500,0)),"")</f>
        <v>15/05/0036</v>
      </c>
      <c r="L15" s="111">
        <f>IFERROR(INDEX(Logs!$G$2:$G$500,MATCH('Beneficiaries (7)'!$B15,Logs!$A$2:$A$500,0)),0)</f>
        <v>16</v>
      </c>
      <c r="M15" s="72">
        <v>0</v>
      </c>
      <c r="N15" s="101">
        <f t="shared" si="3"/>
        <v>16</v>
      </c>
      <c r="O15" s="102">
        <f>IFERROR(INDEX(Logs!$H$2:$H$500,MATCH('Beneficiaries (7)'!$B15,Logs!$A$2:$A$500,0)),)</f>
        <v>204.16</v>
      </c>
      <c r="P15" s="103">
        <f t="shared" si="2"/>
        <v>3266.56</v>
      </c>
      <c r="Q15" s="95"/>
      <c r="R15" s="115"/>
    </row>
    <row r="16" spans="1:18" x14ac:dyDescent="0.2">
      <c r="A16" s="100" t="str">
        <f t="shared" si="1"/>
        <v/>
      </c>
      <c r="B16" s="72">
        <v>127</v>
      </c>
      <c r="C16" s="107" t="str">
        <f>IFERROR(INDEX(Logs!$B$2:$B$500,MATCH('Beneficiaries (7)'!$B16,Logs!$A$2:$A$500,0)),"")</f>
        <v>Babalwa</v>
      </c>
      <c r="D16" s="107" t="str">
        <f>IFERROR(INDEX(Logs!$C$2:$C$500,MATCH('Beneficiaries (7)'!$B16,Logs!$A$2:$A$500,0)),"")</f>
        <v>Mpontshane</v>
      </c>
      <c r="E16" s="108" t="str">
        <f>IFERROR(INDEX(Logs!$D$2:$D$500,MATCH('Beneficiaries (7)'!$B16,Logs!$A$2:$A$500,0)),"")</f>
        <v>8710220821082</v>
      </c>
      <c r="F16" s="73" t="s">
        <v>761</v>
      </c>
      <c r="G16" s="101" t="str">
        <f t="shared" si="0"/>
        <v>F</v>
      </c>
      <c r="H16" s="72" t="s">
        <v>761</v>
      </c>
      <c r="I16" s="72" t="s">
        <v>762</v>
      </c>
      <c r="J16" s="111" t="str">
        <f>IFERROR(INDEX(Logs!$E$2:$E$500,MATCH('Beneficiaries (7)'!$B16,Logs!$A$2:$A$500,0)),"")</f>
        <v>14/06/0007</v>
      </c>
      <c r="K16" s="111" t="str">
        <f>IFERROR(INDEX(Logs!$F$2:$F$500,MATCH('Beneficiaries (7)'!$B16,Logs!$A$2:$A$500,0)),"")</f>
        <v>15/05/0036</v>
      </c>
      <c r="L16" s="111">
        <f>IFERROR(INDEX(Logs!$G$2:$G$500,MATCH('Beneficiaries (7)'!$B16,Logs!$A$2:$A$500,0)),0)</f>
        <v>17</v>
      </c>
      <c r="M16" s="72">
        <v>0</v>
      </c>
      <c r="N16" s="101">
        <f t="shared" si="3"/>
        <v>17</v>
      </c>
      <c r="O16" s="102">
        <f>IFERROR(INDEX(Logs!$H$2:$H$500,MATCH('Beneficiaries (7)'!$B16,Logs!$A$2:$A$500,0)),)</f>
        <v>204.16</v>
      </c>
      <c r="P16" s="103">
        <f t="shared" si="2"/>
        <v>3470.72</v>
      </c>
      <c r="Q16" s="95"/>
      <c r="R16" s="115"/>
    </row>
    <row r="17" spans="1:18" x14ac:dyDescent="0.2">
      <c r="A17" s="100" t="str">
        <f t="shared" si="1"/>
        <v/>
      </c>
      <c r="B17" s="72">
        <v>128</v>
      </c>
      <c r="C17" s="107" t="str">
        <f>IFERROR(INDEX(Logs!$B$2:$B$500,MATCH('Beneficiaries (7)'!$B17,Logs!$A$2:$A$500,0)),"")</f>
        <v>Cwayitiswa</v>
      </c>
      <c r="D17" s="107" t="str">
        <f>IFERROR(INDEX(Logs!$C$2:$C$500,MATCH('Beneficiaries (7)'!$B17,Logs!$A$2:$A$500,0)),"")</f>
        <v>Gova</v>
      </c>
      <c r="E17" s="108" t="str">
        <f>IFERROR(INDEX(Logs!$D$2:$D$500,MATCH('Beneficiaries (7)'!$B17,Logs!$A$2:$A$500,0)),"")</f>
        <v>8007090580082</v>
      </c>
      <c r="F17" s="73" t="s">
        <v>761</v>
      </c>
      <c r="G17" s="101" t="str">
        <f t="shared" si="0"/>
        <v>F</v>
      </c>
      <c r="H17" s="72" t="s">
        <v>761</v>
      </c>
      <c r="I17" s="72" t="s">
        <v>762</v>
      </c>
      <c r="J17" s="111" t="str">
        <f>IFERROR(INDEX(Logs!$E$2:$E$500,MATCH('Beneficiaries (7)'!$B17,Logs!$A$2:$A$500,0)),"")</f>
        <v>14/06/0007</v>
      </c>
      <c r="K17" s="111" t="str">
        <f>IFERROR(INDEX(Logs!$F$2:$F$500,MATCH('Beneficiaries (7)'!$B17,Logs!$A$2:$A$500,0)),"")</f>
        <v>14/06/0036</v>
      </c>
      <c r="L17" s="111">
        <f>IFERROR(INDEX(Logs!$G$2:$G$500,MATCH('Beneficiaries (7)'!$B17,Logs!$A$2:$A$500,0)),0)</f>
        <v>17</v>
      </c>
      <c r="M17" s="72">
        <v>0</v>
      </c>
      <c r="N17" s="101">
        <f t="shared" si="3"/>
        <v>17</v>
      </c>
      <c r="O17" s="102">
        <f>IFERROR(INDEX(Logs!$H$2:$H$500,MATCH('Beneficiaries (7)'!$B17,Logs!$A$2:$A$500,0)),)</f>
        <v>204.16</v>
      </c>
      <c r="P17" s="103">
        <f t="shared" si="2"/>
        <v>3470.72</v>
      </c>
      <c r="Q17" s="95"/>
      <c r="R17" s="115"/>
    </row>
    <row r="18" spans="1:18" x14ac:dyDescent="0.2">
      <c r="A18" s="100" t="str">
        <f t="shared" si="1"/>
        <v/>
      </c>
      <c r="B18" s="72">
        <v>129</v>
      </c>
      <c r="C18" s="107" t="str">
        <f>IFERROR(INDEX(Logs!$B$2:$B$500,MATCH('Beneficiaries (7)'!$B18,Logs!$A$2:$A$500,0)),"")</f>
        <v>Nosivuyile</v>
      </c>
      <c r="D18" s="107" t="str">
        <f>IFERROR(INDEX(Logs!$C$2:$C$500,MATCH('Beneficiaries (7)'!$B18,Logs!$A$2:$A$500,0)),"")</f>
        <v>Sebezo</v>
      </c>
      <c r="E18" s="108" t="str">
        <f>IFERROR(INDEX(Logs!$D$2:$D$500,MATCH('Beneficiaries (7)'!$B18,Logs!$A$2:$A$500,0)),"")</f>
        <v>6912252289087</v>
      </c>
      <c r="F18" s="73" t="s">
        <v>761</v>
      </c>
      <c r="G18" s="101" t="str">
        <f t="shared" si="0"/>
        <v>F</v>
      </c>
      <c r="H18" s="72" t="s">
        <v>761</v>
      </c>
      <c r="I18" s="72" t="s">
        <v>762</v>
      </c>
      <c r="J18" s="111" t="str">
        <f>IFERROR(INDEX(Logs!$E$2:$E$500,MATCH('Beneficiaries (7)'!$B18,Logs!$A$2:$A$500,0)),"")</f>
        <v>14/06/0007</v>
      </c>
      <c r="K18" s="111" t="str">
        <f>IFERROR(INDEX(Logs!$F$2:$F$500,MATCH('Beneficiaries (7)'!$B18,Logs!$A$2:$A$500,0)),"")</f>
        <v>15/05/0036</v>
      </c>
      <c r="L18" s="111">
        <f>IFERROR(INDEX(Logs!$G$2:$G$500,MATCH('Beneficiaries (7)'!$B18,Logs!$A$2:$A$500,0)),0)</f>
        <v>17</v>
      </c>
      <c r="M18" s="72">
        <v>0</v>
      </c>
      <c r="N18" s="101">
        <f t="shared" si="3"/>
        <v>17</v>
      </c>
      <c r="O18" s="102">
        <f>IFERROR(INDEX(Logs!$H$2:$H$500,MATCH('Beneficiaries (7)'!$B18,Logs!$A$2:$A$500,0)),)</f>
        <v>204.16</v>
      </c>
      <c r="P18" s="103">
        <f t="shared" si="2"/>
        <v>3470.72</v>
      </c>
      <c r="Q18" s="95"/>
      <c r="R18" s="115"/>
    </row>
    <row r="19" spans="1:18" x14ac:dyDescent="0.2">
      <c r="A19" s="100" t="str">
        <f t="shared" si="1"/>
        <v/>
      </c>
      <c r="B19" s="72">
        <v>130</v>
      </c>
      <c r="C19" s="107" t="str">
        <f>IFERROR(INDEX(Logs!$B$2:$B$500,MATCH('Beneficiaries (7)'!$B19,Logs!$A$2:$A$500,0)),"")</f>
        <v>Funeka</v>
      </c>
      <c r="D19" s="107" t="str">
        <f>IFERROR(INDEX(Logs!$C$2:$C$500,MATCH('Beneficiaries (7)'!$B19,Logs!$A$2:$A$500,0)),"")</f>
        <v>Makhinzi</v>
      </c>
      <c r="E19" s="108" t="str">
        <f>IFERROR(INDEX(Logs!$D$2:$D$500,MATCH('Beneficiaries (7)'!$B19,Logs!$A$2:$A$500,0)),"")</f>
        <v>7607270882082</v>
      </c>
      <c r="F19" s="73" t="s">
        <v>761</v>
      </c>
      <c r="G19" s="101" t="str">
        <f t="shared" si="0"/>
        <v>F</v>
      </c>
      <c r="H19" s="72" t="s">
        <v>761</v>
      </c>
      <c r="I19" s="72" t="s">
        <v>762</v>
      </c>
      <c r="J19" s="111" t="str">
        <f>IFERROR(INDEX(Logs!$E$2:$E$500,MATCH('Beneficiaries (7)'!$B19,Logs!$A$2:$A$500,0)),"")</f>
        <v>14/06/0007</v>
      </c>
      <c r="K19" s="111" t="str">
        <f>IFERROR(INDEX(Logs!$F$2:$F$500,MATCH('Beneficiaries (7)'!$B19,Logs!$A$2:$A$500,0)),"")</f>
        <v>15/05/0036</v>
      </c>
      <c r="L19" s="111">
        <f>IFERROR(INDEX(Logs!$G$2:$G$500,MATCH('Beneficiaries (7)'!$B19,Logs!$A$2:$A$500,0)),0)</f>
        <v>16</v>
      </c>
      <c r="M19" s="72">
        <v>0</v>
      </c>
      <c r="N19" s="101">
        <f t="shared" si="3"/>
        <v>16</v>
      </c>
      <c r="O19" s="102">
        <f>IFERROR(INDEX(Logs!$H$2:$H$500,MATCH('Beneficiaries (7)'!$B19,Logs!$A$2:$A$500,0)),)</f>
        <v>218.08</v>
      </c>
      <c r="P19" s="103">
        <f t="shared" si="2"/>
        <v>3489.28</v>
      </c>
      <c r="Q19" s="95"/>
      <c r="R19" s="115"/>
    </row>
    <row r="20" spans="1:18" x14ac:dyDescent="0.2">
      <c r="A20" s="100" t="str">
        <f t="shared" si="1"/>
        <v/>
      </c>
      <c r="B20" s="72">
        <v>131</v>
      </c>
      <c r="C20" s="107" t="str">
        <f>IFERROR(INDEX(Logs!$B$2:$B$500,MATCH('Beneficiaries (7)'!$B20,Logs!$A$2:$A$500,0)),"")</f>
        <v xml:space="preserve">Baliswa </v>
      </c>
      <c r="D20" s="107" t="str">
        <f>IFERROR(INDEX(Logs!$C$2:$C$500,MATCH('Beneficiaries (7)'!$B20,Logs!$A$2:$A$500,0)),"")</f>
        <v>Moni</v>
      </c>
      <c r="E20" s="108" t="str">
        <f>IFERROR(INDEX(Logs!$D$2:$D$500,MATCH('Beneficiaries (7)'!$B20,Logs!$A$2:$A$500,0)),"")</f>
        <v>8110190584085</v>
      </c>
      <c r="F20" s="73" t="s">
        <v>761</v>
      </c>
      <c r="G20" s="101" t="str">
        <f t="shared" si="0"/>
        <v>F</v>
      </c>
      <c r="H20" s="72" t="s">
        <v>761</v>
      </c>
      <c r="I20" s="72" t="s">
        <v>762</v>
      </c>
      <c r="J20" s="111" t="str">
        <f>IFERROR(INDEX(Logs!$E$2:$E$500,MATCH('Beneficiaries (7)'!$B20,Logs!$A$2:$A$500,0)),"")</f>
        <v>13/06/0008</v>
      </c>
      <c r="K20" s="111" t="str">
        <f>IFERROR(INDEX(Logs!$F$2:$F$500,MATCH('Beneficiaries (7)'!$B20,Logs!$A$2:$A$500,0)),"")</f>
        <v>15/05/0036</v>
      </c>
      <c r="L20" s="111">
        <f>IFERROR(INDEX(Logs!$G$2:$G$500,MATCH('Beneficiaries (7)'!$B20,Logs!$A$2:$A$500,0)),0)</f>
        <v>22</v>
      </c>
      <c r="M20" s="72">
        <v>0</v>
      </c>
      <c r="N20" s="101">
        <f t="shared" si="3"/>
        <v>22</v>
      </c>
      <c r="O20" s="102">
        <f>IFERROR(INDEX(Logs!$H$2:$H$500,MATCH('Beneficiaries (7)'!$B20,Logs!$A$2:$A$500,0)),)</f>
        <v>204.16</v>
      </c>
      <c r="P20" s="103">
        <f t="shared" si="2"/>
        <v>4491.5199999999995</v>
      </c>
      <c r="Q20" s="95"/>
    </row>
    <row r="21" spans="1:18" x14ac:dyDescent="0.2">
      <c r="A21" s="100" t="str">
        <f t="shared" si="1"/>
        <v/>
      </c>
      <c r="B21" s="72">
        <v>132</v>
      </c>
      <c r="C21" s="107" t="str">
        <f>IFERROR(INDEX(Logs!$B$2:$B$500,MATCH('Beneficiaries (7)'!$B21,Logs!$A$2:$A$500,0)),"")</f>
        <v>Busisiwe</v>
      </c>
      <c r="D21" s="107" t="str">
        <f>IFERROR(INDEX(Logs!$C$2:$C$500,MATCH('Beneficiaries (7)'!$B21,Logs!$A$2:$A$500,0)),"")</f>
        <v>Somcho</v>
      </c>
      <c r="E21" s="108" t="str">
        <f>IFERROR(INDEX(Logs!$D$2:$D$500,MATCH('Beneficiaries (7)'!$B21,Logs!$A$2:$A$500,0)),"")</f>
        <v>8706061180083</v>
      </c>
      <c r="F21" s="73" t="s">
        <v>761</v>
      </c>
      <c r="G21" s="101" t="str">
        <f t="shared" si="0"/>
        <v>F</v>
      </c>
      <c r="H21" s="72" t="s">
        <v>761</v>
      </c>
      <c r="I21" s="72" t="s">
        <v>762</v>
      </c>
      <c r="J21" s="111" t="str">
        <f>IFERROR(INDEX(Logs!$E$2:$E$500,MATCH('Beneficiaries (7)'!$B21,Logs!$A$2:$A$500,0)),"")</f>
        <v>13/06/0008</v>
      </c>
      <c r="K21" s="111" t="str">
        <f>IFERROR(INDEX(Logs!$F$2:$F$500,MATCH('Beneficiaries (7)'!$B21,Logs!$A$2:$A$500,0)),"")</f>
        <v>15/05/0036</v>
      </c>
      <c r="L21" s="111">
        <f>IFERROR(INDEX(Logs!$G$2:$G$500,MATCH('Beneficiaries (7)'!$B21,Logs!$A$2:$A$500,0)),0)</f>
        <v>22</v>
      </c>
      <c r="M21" s="72">
        <v>0</v>
      </c>
      <c r="N21" s="101">
        <f t="shared" si="3"/>
        <v>22</v>
      </c>
      <c r="O21" s="102">
        <f>IFERROR(INDEX(Logs!$H$2:$H$500,MATCH('Beneficiaries (7)'!$B21,Logs!$A$2:$A$500,0)),)</f>
        <v>204.16</v>
      </c>
      <c r="P21" s="103">
        <f t="shared" si="2"/>
        <v>4491.5199999999995</v>
      </c>
      <c r="Q21" s="95"/>
    </row>
    <row r="22" spans="1:18" x14ac:dyDescent="0.2">
      <c r="A22" s="100" t="str">
        <f t="shared" si="1"/>
        <v/>
      </c>
      <c r="B22" s="72">
        <v>133</v>
      </c>
      <c r="C22" s="109" t="str">
        <f>IFERROR(INDEX(Logs!$B$2:$B$500,MATCH('Beneficiaries (7)'!$B22,Logs!$A$2:$A$500,0)),"")</f>
        <v>Loyiso</v>
      </c>
      <c r="D22" s="107" t="str">
        <f>IFERROR(INDEX(Logs!$C$2:$C$500,MATCH('Beneficiaries (7)'!$B22,Logs!$A$2:$A$500,0)),"")</f>
        <v>Dlayiya</v>
      </c>
      <c r="E22" s="108" t="str">
        <f>IFERROR(INDEX(Logs!$D$2:$D$500,MATCH('Beneficiaries (7)'!$B22,Logs!$A$2:$A$500,0)),"")</f>
        <v>8710036016083</v>
      </c>
      <c r="F22" s="73" t="s">
        <v>761</v>
      </c>
      <c r="G22" s="101" t="str">
        <f t="shared" si="0"/>
        <v>M</v>
      </c>
      <c r="H22" s="72" t="s">
        <v>761</v>
      </c>
      <c r="I22" s="72" t="s">
        <v>762</v>
      </c>
      <c r="J22" s="111" t="str">
        <f>IFERROR(INDEX(Logs!$E$2:$E$500,MATCH('Beneficiaries (7)'!$B22,Logs!$A$2:$A$500,0)),"")</f>
        <v>13/06/0008</v>
      </c>
      <c r="K22" s="111" t="str">
        <f>IFERROR(INDEX(Logs!$F$2:$F$500,MATCH('Beneficiaries (7)'!$B22,Logs!$A$2:$A$500,0)),"")</f>
        <v>15/05/0036</v>
      </c>
      <c r="L22" s="111">
        <f>IFERROR(INDEX(Logs!$G$2:$G$500,MATCH('Beneficiaries (7)'!$B22,Logs!$A$2:$A$500,0)),0)</f>
        <v>22</v>
      </c>
      <c r="M22" s="72">
        <v>0</v>
      </c>
      <c r="N22" s="101">
        <f t="shared" si="3"/>
        <v>22</v>
      </c>
      <c r="O22" s="102">
        <f>IFERROR(INDEX(Logs!$H$2:$H$500,MATCH('Beneficiaries (7)'!$B22,Logs!$A$2:$A$500,0)),)</f>
        <v>204.16</v>
      </c>
      <c r="P22" s="103">
        <f t="shared" si="2"/>
        <v>4491.5199999999995</v>
      </c>
      <c r="Q22" s="95"/>
    </row>
    <row r="23" spans="1:18" x14ac:dyDescent="0.2">
      <c r="A23" s="100" t="str">
        <f t="shared" si="1"/>
        <v/>
      </c>
      <c r="B23" s="72">
        <v>134</v>
      </c>
      <c r="C23" s="109" t="str">
        <f>IFERROR(INDEX(Logs!$B$2:$B$500,MATCH('Beneficiaries (7)'!$B23,Logs!$A$2:$A$500,0)),"")</f>
        <v>Yalanda</v>
      </c>
      <c r="D23" s="107" t="str">
        <f>IFERROR(INDEX(Logs!$C$2:$C$500,MATCH('Beneficiaries (7)'!$B23,Logs!$A$2:$A$500,0)),"")</f>
        <v>Vermeulen</v>
      </c>
      <c r="E23" s="108" t="str">
        <f>IFERROR(INDEX(Logs!$D$2:$D$500,MATCH('Beneficiaries (7)'!$B23,Logs!$A$2:$A$500,0)),"")</f>
        <v>7807230107089</v>
      </c>
      <c r="F23" s="73" t="s">
        <v>761</v>
      </c>
      <c r="G23" s="101" t="str">
        <f t="shared" si="0"/>
        <v>F</v>
      </c>
      <c r="H23" s="72" t="s">
        <v>761</v>
      </c>
      <c r="I23" s="72" t="s">
        <v>762</v>
      </c>
      <c r="J23" s="111" t="str">
        <f>IFERROR(INDEX(Logs!$E$2:$E$500,MATCH('Beneficiaries (7)'!$B23,Logs!$A$2:$A$500,0)),"")</f>
        <v>09/01/2023</v>
      </c>
      <c r="K23" s="111" t="str">
        <f>IFERROR(INDEX(Logs!$F$2:$F$500,MATCH('Beneficiaries (7)'!$B23,Logs!$A$2:$A$500,0)),"")</f>
        <v>31/01/2024</v>
      </c>
      <c r="L23" s="111">
        <f>IFERROR(INDEX(Logs!$G$2:$G$500,MATCH('Beneficiaries (7)'!$B23,Logs!$A$2:$A$500,0)),0)</f>
        <v>17</v>
      </c>
      <c r="M23" s="72">
        <v>0</v>
      </c>
      <c r="N23" s="101">
        <f t="shared" si="3"/>
        <v>17</v>
      </c>
      <c r="O23" s="102">
        <f>IFERROR(INDEX(Logs!$H$2:$H$500,MATCH('Beneficiaries (7)'!$B23,Logs!$A$2:$A$500,0)),)</f>
        <v>204.16</v>
      </c>
      <c r="P23" s="103">
        <f t="shared" si="2"/>
        <v>3470.72</v>
      </c>
      <c r="Q23" s="95"/>
    </row>
    <row r="24" spans="1:18" x14ac:dyDescent="0.2">
      <c r="A24" s="100" t="str">
        <f t="shared" si="1"/>
        <v/>
      </c>
      <c r="B24" s="72">
        <v>135</v>
      </c>
      <c r="C24" s="109" t="str">
        <f>IFERROR(INDEX(Logs!$B$2:$B$500,MATCH('Beneficiaries (7)'!$B24,Logs!$A$2:$A$500,0)),"")</f>
        <v>Francisco</v>
      </c>
      <c r="D24" s="107" t="str">
        <f>IFERROR(INDEX(Logs!$C$2:$C$500,MATCH('Beneficiaries (7)'!$B24,Logs!$A$2:$A$500,0)),"")</f>
        <v>Malgas</v>
      </c>
      <c r="E24" s="108" t="str">
        <f>IFERROR(INDEX(Logs!$D$2:$D$500,MATCH('Beneficiaries (7)'!$B24,Logs!$A$2:$A$500,0)),"")</f>
        <v>0104015151087</v>
      </c>
      <c r="F24" s="73" t="s">
        <v>761</v>
      </c>
      <c r="G24" s="101" t="str">
        <f t="shared" si="0"/>
        <v>M</v>
      </c>
      <c r="H24" s="72" t="s">
        <v>761</v>
      </c>
      <c r="I24" s="72" t="s">
        <v>762</v>
      </c>
      <c r="J24" s="111" t="str">
        <f>IFERROR(INDEX(Logs!$E$2:$E$500,MATCH('Beneficiaries (7)'!$B24,Logs!$A$2:$A$500,0)),"")</f>
        <v>09/01/2023</v>
      </c>
      <c r="K24" s="111" t="str">
        <f>IFERROR(INDEX(Logs!$F$2:$F$500,MATCH('Beneficiaries (7)'!$B24,Logs!$A$2:$A$500,0)),"")</f>
        <v>31/01/2024</v>
      </c>
      <c r="L24" s="111">
        <f>IFERROR(INDEX(Logs!$G$2:$G$500,MATCH('Beneficiaries (7)'!$B24,Logs!$A$2:$A$500,0)),0)</f>
        <v>17</v>
      </c>
      <c r="M24" s="72">
        <v>0</v>
      </c>
      <c r="N24" s="101">
        <f t="shared" si="3"/>
        <v>17</v>
      </c>
      <c r="O24" s="102">
        <f>IFERROR(INDEX(Logs!$H$2:$H$500,MATCH('Beneficiaries (7)'!$B24,Logs!$A$2:$A$500,0)),)</f>
        <v>204.16</v>
      </c>
      <c r="P24" s="103">
        <f t="shared" si="2"/>
        <v>3470.72</v>
      </c>
      <c r="Q24" s="95"/>
    </row>
    <row r="25" spans="1:18" x14ac:dyDescent="0.2">
      <c r="A25" s="100" t="str">
        <f t="shared" si="1"/>
        <v/>
      </c>
      <c r="B25" s="72">
        <v>136</v>
      </c>
      <c r="C25" s="110" t="str">
        <f>IFERROR(INDEX(Logs!$B$2:$B$500,MATCH('Beneficiaries (7)'!$B25,Logs!$A$2:$A$500,0)),"")</f>
        <v>Phateka</v>
      </c>
      <c r="D25" s="107" t="str">
        <f>IFERROR(INDEX(Logs!$C$2:$C$500,MATCH('Beneficiaries (7)'!$B25,Logs!$A$2:$A$500,0)),"")</f>
        <v>Adonisi</v>
      </c>
      <c r="E25" s="108" t="str">
        <f>IFERROR(INDEX(Logs!$D$2:$D$500,MATCH('Beneficiaries (7)'!$B25,Logs!$A$2:$A$500,0)),"")</f>
        <v>7904110989080</v>
      </c>
      <c r="F25" s="73" t="s">
        <v>761</v>
      </c>
      <c r="G25" s="101" t="str">
        <f t="shared" si="0"/>
        <v>F</v>
      </c>
      <c r="H25" s="72" t="s">
        <v>761</v>
      </c>
      <c r="I25" s="72" t="s">
        <v>762</v>
      </c>
      <c r="J25" s="111" t="str">
        <f>IFERROR(INDEX(Logs!$E$2:$E$500,MATCH('Beneficiaries (7)'!$B25,Logs!$A$2:$A$500,0)),"")</f>
        <v>16/01/2023</v>
      </c>
      <c r="K25" s="111" t="str">
        <f>IFERROR(INDEX(Logs!$F$2:$F$500,MATCH('Beneficiaries (7)'!$B25,Logs!$A$2:$A$500,0)),"")</f>
        <v>16/01/2024</v>
      </c>
      <c r="L25" s="111">
        <f>IFERROR(INDEX(Logs!$G$2:$G$500,MATCH('Beneficiaries (7)'!$B25,Logs!$A$2:$A$500,0)),0)</f>
        <v>22</v>
      </c>
      <c r="M25" s="72">
        <v>0</v>
      </c>
      <c r="N25" s="101">
        <f t="shared" si="3"/>
        <v>22</v>
      </c>
      <c r="O25" s="102">
        <f>IFERROR(INDEX(Logs!$H$2:$H$500,MATCH('Beneficiaries (7)'!$B25,Logs!$A$2:$A$500,0)),)</f>
        <v>204.16</v>
      </c>
      <c r="P25" s="103">
        <f t="shared" si="2"/>
        <v>4491.5199999999995</v>
      </c>
      <c r="Q25" s="95"/>
    </row>
    <row r="26" spans="1:18" x14ac:dyDescent="0.2">
      <c r="A26" s="100" t="str">
        <f t="shared" si="1"/>
        <v/>
      </c>
      <c r="B26" s="72">
        <v>137</v>
      </c>
      <c r="C26" s="110" t="str">
        <f>IFERROR(INDEX(Logs!$B$2:$B$500,MATCH('Beneficiaries (7)'!$B26,Logs!$A$2:$A$500,0)),"")</f>
        <v>Athini</v>
      </c>
      <c r="D26" s="107" t="str">
        <f>IFERROR(INDEX(Logs!$C$2:$C$500,MATCH('Beneficiaries (7)'!$B26,Logs!$A$2:$A$500,0)),"")</f>
        <v>Ngaphi</v>
      </c>
      <c r="E26" s="108" t="str">
        <f>IFERROR(INDEX(Logs!$D$2:$D$500,MATCH('Beneficiaries (7)'!$B26,Logs!$A$2:$A$500,0)),"")</f>
        <v>9801106007083</v>
      </c>
      <c r="F26" s="73" t="s">
        <v>761</v>
      </c>
      <c r="G26" s="101" t="str">
        <f t="shared" si="0"/>
        <v>M</v>
      </c>
      <c r="H26" s="72" t="s">
        <v>761</v>
      </c>
      <c r="I26" s="72" t="s">
        <v>762</v>
      </c>
      <c r="J26" s="111" t="str">
        <f>IFERROR(INDEX(Logs!$E$2:$E$500,MATCH('Beneficiaries (7)'!$B26,Logs!$A$2:$A$500,0)),"")</f>
        <v>16/01/2023</v>
      </c>
      <c r="K26" s="111" t="str">
        <f>IFERROR(INDEX(Logs!$F$2:$F$500,MATCH('Beneficiaries (7)'!$B26,Logs!$A$2:$A$500,0)),"")</f>
        <v>16/01/2024</v>
      </c>
      <c r="L26" s="111">
        <f>IFERROR(INDEX(Logs!$G$2:$G$500,MATCH('Beneficiaries (7)'!$B26,Logs!$A$2:$A$500,0)),0)</f>
        <v>22</v>
      </c>
      <c r="M26" s="72">
        <v>0</v>
      </c>
      <c r="N26" s="101">
        <f t="shared" si="3"/>
        <v>22</v>
      </c>
      <c r="O26" s="102">
        <f>IFERROR(INDEX(Logs!$H$2:$H$500,MATCH('Beneficiaries (7)'!$B26,Logs!$A$2:$A$500,0)),)</f>
        <v>204.16</v>
      </c>
      <c r="P26" s="103">
        <f t="shared" si="2"/>
        <v>4491.5199999999995</v>
      </c>
      <c r="Q26" s="95"/>
    </row>
    <row r="27" spans="1:18" x14ac:dyDescent="0.2">
      <c r="A27" s="100" t="str">
        <f t="shared" si="1"/>
        <v/>
      </c>
      <c r="B27" s="72">
        <v>138</v>
      </c>
      <c r="C27" s="110" t="str">
        <f>IFERROR(INDEX(Logs!$B$2:$B$500,MATCH('Beneficiaries (7)'!$B27,Logs!$A$2:$A$500,0)),"")</f>
        <v>Anele</v>
      </c>
      <c r="D27" s="107" t="str">
        <f>IFERROR(INDEX(Logs!$C$2:$C$500,MATCH('Beneficiaries (7)'!$B27,Logs!$A$2:$A$500,0)),"")</f>
        <v>Ngcaba</v>
      </c>
      <c r="E27" s="108" t="str">
        <f>IFERROR(INDEX(Logs!$D$2:$D$500,MATCH('Beneficiaries (7)'!$B27,Logs!$A$2:$A$500,0)),"")</f>
        <v>9211215855085</v>
      </c>
      <c r="F27" s="73" t="s">
        <v>761</v>
      </c>
      <c r="G27" s="101" t="str">
        <f t="shared" si="0"/>
        <v>M</v>
      </c>
      <c r="H27" s="72" t="s">
        <v>761</v>
      </c>
      <c r="I27" s="72" t="s">
        <v>762</v>
      </c>
      <c r="J27" s="111" t="str">
        <f>IFERROR(INDEX(Logs!$E$2:$E$500,MATCH('Beneficiaries (7)'!$B27,Logs!$A$2:$A$500,0)),"")</f>
        <v>16/01/2023</v>
      </c>
      <c r="K27" s="111" t="str">
        <f>IFERROR(INDEX(Logs!$F$2:$F$500,MATCH('Beneficiaries (7)'!$B27,Logs!$A$2:$A$500,0)),"")</f>
        <v>16/01/2024</v>
      </c>
      <c r="L27" s="111">
        <f>IFERROR(INDEX(Logs!$G$2:$G$500,MATCH('Beneficiaries (7)'!$B27,Logs!$A$2:$A$500,0)),0)</f>
        <v>21</v>
      </c>
      <c r="M27" s="72">
        <v>0</v>
      </c>
      <c r="N27" s="101">
        <f t="shared" si="3"/>
        <v>21</v>
      </c>
      <c r="O27" s="102">
        <f>IFERROR(INDEX(Logs!$H$2:$H$500,MATCH('Beneficiaries (7)'!$B27,Logs!$A$2:$A$500,0)),)</f>
        <v>204.16</v>
      </c>
      <c r="P27" s="103">
        <f t="shared" si="2"/>
        <v>4287.3599999999997</v>
      </c>
      <c r="Q27" s="95"/>
    </row>
    <row r="28" spans="1:18" x14ac:dyDescent="0.2">
      <c r="A28" s="100" t="str">
        <f t="shared" si="1"/>
        <v/>
      </c>
      <c r="B28" s="72">
        <v>139</v>
      </c>
      <c r="C28" s="110" t="str">
        <f>IFERROR(INDEX(Logs!$B$2:$B$500,MATCH('Beneficiaries (7)'!$B28,Logs!$A$2:$A$500,0)),"")</f>
        <v>Anathi</v>
      </c>
      <c r="D28" s="107" t="str">
        <f>IFERROR(INDEX(Logs!$C$2:$C$500,MATCH('Beneficiaries (7)'!$B28,Logs!$A$2:$A$500,0)),"")</f>
        <v>Malahlana</v>
      </c>
      <c r="E28" s="108" t="str">
        <f>IFERROR(INDEX(Logs!$D$2:$D$500,MATCH('Beneficiaries (7)'!$B28,Logs!$A$2:$A$500,0)),"")</f>
        <v>9108120684081</v>
      </c>
      <c r="F28" s="73" t="s">
        <v>761</v>
      </c>
      <c r="G28" s="101" t="str">
        <f t="shared" si="0"/>
        <v>F</v>
      </c>
      <c r="H28" s="72" t="s">
        <v>761</v>
      </c>
      <c r="I28" s="72" t="s">
        <v>762</v>
      </c>
      <c r="J28" s="111" t="str">
        <f>IFERROR(INDEX(Logs!$E$2:$E$500,MATCH('Beneficiaries (7)'!$B28,Logs!$A$2:$A$500,0)),"")</f>
        <v>16/01/2023</v>
      </c>
      <c r="K28" s="111" t="str">
        <f>IFERROR(INDEX(Logs!$F$2:$F$500,MATCH('Beneficiaries (7)'!$B28,Logs!$A$2:$A$500,0)),"")</f>
        <v>16/01/2024</v>
      </c>
      <c r="L28" s="111">
        <f>IFERROR(INDEX(Logs!$G$2:$G$500,MATCH('Beneficiaries (7)'!$B28,Logs!$A$2:$A$500,0)),0)</f>
        <v>23</v>
      </c>
      <c r="M28" s="72">
        <v>0</v>
      </c>
      <c r="N28" s="101">
        <f t="shared" si="3"/>
        <v>23</v>
      </c>
      <c r="O28" s="102">
        <f>IFERROR(INDEX(Logs!$H$2:$H$500,MATCH('Beneficiaries (7)'!$B28,Logs!$A$2:$A$500,0)),)</f>
        <v>204.16</v>
      </c>
      <c r="P28" s="103">
        <f t="shared" si="2"/>
        <v>4695.68</v>
      </c>
      <c r="Q28" s="95"/>
    </row>
    <row r="29" spans="1:18" x14ac:dyDescent="0.2">
      <c r="A29" s="100" t="str">
        <f t="shared" si="1"/>
        <v/>
      </c>
      <c r="B29" s="72">
        <v>140</v>
      </c>
      <c r="C29" s="110" t="str">
        <f>IFERROR(INDEX(Logs!$B$2:$B$500,MATCH('Beneficiaries (7)'!$B29,Logs!$A$2:$A$500,0)),"")</f>
        <v>Sindiwe</v>
      </c>
      <c r="D29" s="110" t="str">
        <f>IFERROR(INDEX(Logs!$C$2:$C$500,MATCH('Beneficiaries (7)'!$B29,Logs!$A$2:$A$500,0)),"")</f>
        <v>Gcilitshana</v>
      </c>
      <c r="E29" s="108" t="str">
        <f>IFERROR(INDEX(Logs!$D$2:$D$500,MATCH('Beneficiaries (7)'!$B29,Logs!$A$2:$A$500,0)),"")</f>
        <v>7512281125085</v>
      </c>
      <c r="F29" s="73" t="s">
        <v>761</v>
      </c>
      <c r="G29" s="101" t="str">
        <f t="shared" si="0"/>
        <v>F</v>
      </c>
      <c r="H29" s="72" t="s">
        <v>761</v>
      </c>
      <c r="I29" s="72" t="s">
        <v>762</v>
      </c>
      <c r="J29" s="111" t="str">
        <f>IFERROR(INDEX(Logs!$E$2:$E$500,MATCH('Beneficiaries (7)'!$B29,Logs!$A$2:$A$500,0)),"")</f>
        <v>23/01/2023</v>
      </c>
      <c r="K29" s="111" t="str">
        <f>IFERROR(INDEX(Logs!$F$2:$F$500,MATCH('Beneficiaries (7)'!$B29,Logs!$A$2:$A$500,0)),"")</f>
        <v>31/01/2024</v>
      </c>
      <c r="L29" s="111">
        <f>IFERROR(INDEX(Logs!$G$2:$G$500,MATCH('Beneficiaries (7)'!$B29,Logs!$A$2:$A$500,0)),0)</f>
        <v>22</v>
      </c>
      <c r="M29" s="72">
        <v>0</v>
      </c>
      <c r="N29" s="101">
        <f t="shared" si="3"/>
        <v>22</v>
      </c>
      <c r="O29" s="102">
        <f>IFERROR(INDEX(Logs!$H$2:$H$500,MATCH('Beneficiaries (7)'!$B29,Logs!$A$2:$A$500,0)),)</f>
        <v>204.16</v>
      </c>
      <c r="P29" s="103">
        <f t="shared" si="2"/>
        <v>4491.5199999999995</v>
      </c>
      <c r="Q29" s="95"/>
    </row>
    <row r="30" spans="1:18" x14ac:dyDescent="0.2"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104">
        <f>SUM(L10:L29)</f>
        <v>379</v>
      </c>
      <c r="M30" s="104">
        <f>SUM(M10:M29)</f>
        <v>0</v>
      </c>
      <c r="N30" s="104">
        <f>SUM(N10:N29)</f>
        <v>379</v>
      </c>
      <c r="O30" s="105">
        <f>SUM(O10:O29)</f>
        <v>4097.119999999999</v>
      </c>
      <c r="P30" s="106">
        <f>SUM(P10:P29)</f>
        <v>77599.360000000001</v>
      </c>
      <c r="Q30" s="97"/>
    </row>
    <row r="31" spans="1:18" ht="27" customHeight="1" x14ac:dyDescent="0.2">
      <c r="B31" s="217" t="s">
        <v>98</v>
      </c>
      <c r="C31" s="217"/>
      <c r="D31" s="98" t="s">
        <v>97</v>
      </c>
      <c r="E31" s="218" t="str">
        <f>Project!$G$30</f>
        <v>Benjamin Milandou-Loubeka</v>
      </c>
      <c r="F31" s="218"/>
      <c r="G31" s="218"/>
      <c r="H31" s="219" t="s">
        <v>101</v>
      </c>
      <c r="I31" s="220"/>
      <c r="J31" s="220"/>
      <c r="K31" s="220"/>
      <c r="L31" s="220"/>
      <c r="M31" s="220"/>
      <c r="N31" s="220"/>
      <c r="O31" s="220"/>
      <c r="P31" s="220"/>
      <c r="Q31" s="87"/>
    </row>
    <row r="32" spans="1:18" ht="27" customHeight="1" x14ac:dyDescent="0.2">
      <c r="B32" s="217"/>
      <c r="C32" s="217"/>
      <c r="D32" s="98" t="s">
        <v>100</v>
      </c>
      <c r="E32" s="221">
        <f>Project!$AN$1</f>
        <v>45199</v>
      </c>
      <c r="F32" s="221"/>
      <c r="G32" s="221"/>
      <c r="H32" s="219"/>
      <c r="I32" s="220"/>
      <c r="J32" s="220"/>
      <c r="K32" s="220"/>
      <c r="L32" s="220"/>
      <c r="M32" s="220"/>
      <c r="N32" s="220"/>
      <c r="O32" s="220"/>
      <c r="P32" s="220"/>
      <c r="Q32" s="87"/>
    </row>
    <row r="33" spans="2:17" ht="14.25" customHeight="1" x14ac:dyDescent="0.2">
      <c r="B33" s="88"/>
      <c r="C33" s="88"/>
      <c r="D33" s="99"/>
      <c r="E33" s="87"/>
      <c r="F33" s="87"/>
      <c r="G33" s="87"/>
      <c r="H33" s="81"/>
      <c r="I33" s="87"/>
      <c r="J33" s="87"/>
      <c r="K33" s="87"/>
      <c r="L33" s="87"/>
      <c r="M33" s="87"/>
      <c r="N33" s="87"/>
      <c r="O33" s="87"/>
      <c r="P33" s="87"/>
      <c r="Q33" s="87"/>
    </row>
    <row r="34" spans="2:17" ht="27" customHeight="1" x14ac:dyDescent="0.2">
      <c r="B34" s="217" t="s">
        <v>99</v>
      </c>
      <c r="C34" s="217"/>
      <c r="D34" s="98" t="s">
        <v>97</v>
      </c>
      <c r="E34" s="220"/>
      <c r="F34" s="220"/>
      <c r="G34" s="220"/>
      <c r="H34" s="219" t="s">
        <v>101</v>
      </c>
      <c r="I34" s="220"/>
      <c r="J34" s="220"/>
      <c r="K34" s="220"/>
      <c r="L34" s="220"/>
      <c r="M34" s="220"/>
      <c r="N34" s="220"/>
      <c r="O34" s="220"/>
      <c r="P34" s="220"/>
      <c r="Q34" s="87"/>
    </row>
    <row r="35" spans="2:17" ht="27" customHeight="1" x14ac:dyDescent="0.2">
      <c r="B35" s="217"/>
      <c r="C35" s="217"/>
      <c r="D35" s="98" t="s">
        <v>100</v>
      </c>
      <c r="E35" s="220"/>
      <c r="F35" s="220"/>
      <c r="G35" s="220"/>
      <c r="H35" s="219"/>
      <c r="I35" s="220"/>
      <c r="J35" s="220"/>
      <c r="K35" s="220"/>
      <c r="L35" s="220"/>
      <c r="M35" s="220"/>
      <c r="N35" s="220"/>
      <c r="O35" s="220"/>
      <c r="P35" s="220"/>
      <c r="Q35" s="87"/>
    </row>
    <row r="74" spans="2:2" x14ac:dyDescent="0.2">
      <c r="B74" s="87"/>
    </row>
  </sheetData>
  <sheetProtection algorithmName="SHA-512" hashValue="ZvMR2Hq61OZrTK94wxsYrFFtme5+erQrWr1ChskQ96uK6z/d5514m4NyfNTwlWAZjEu0lvmnwhTa6+Calgzhcg==" saltValue="cSvINV4b0N/srt8Q9Guu7Q==" spinCount="100000" sheet="1" selectLockedCells="1"/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conditionalFormatting sqref="C10:C21">
    <cfRule type="uniqueValues" dxfId="80" priority="9"/>
  </conditionalFormatting>
  <conditionalFormatting sqref="D10:D20">
    <cfRule type="uniqueValues" dxfId="79" priority="8"/>
  </conditionalFormatting>
  <conditionalFormatting sqref="D21:D28">
    <cfRule type="uniqueValues" dxfId="78" priority="7"/>
  </conditionalFormatting>
  <conditionalFormatting sqref="F10:F29">
    <cfRule type="expression" dxfId="77" priority="6">
      <formula>$C10=""</formula>
    </cfRule>
  </conditionalFormatting>
  <conditionalFormatting sqref="H10:I29">
    <cfRule type="expression" dxfId="76" priority="5">
      <formula>$C10=""</formula>
    </cfRule>
  </conditionalFormatting>
  <conditionalFormatting sqref="B10:B29">
    <cfRule type="expression" dxfId="75" priority="4">
      <formula>$C10=""</formula>
    </cfRule>
  </conditionalFormatting>
  <conditionalFormatting sqref="L10:L29">
    <cfRule type="cellIs" dxfId="74" priority="3" operator="equal">
      <formula>0</formula>
    </cfRule>
  </conditionalFormatting>
  <conditionalFormatting sqref="M10:N29">
    <cfRule type="expression" dxfId="73" priority="2">
      <formula>$C10=""</formula>
    </cfRule>
  </conditionalFormatting>
  <conditionalFormatting sqref="O10:P29">
    <cfRule type="expression" dxfId="72" priority="1">
      <formula>$C10=""</formula>
    </cfRule>
  </conditionalFormatting>
  <dataValidations count="1">
    <dataValidation allowBlank="1" showInputMessage="1" showErrorMessage="1" promptTitle="Month" sqref="I6" xr:uid="{223A83BE-5332-4453-9D0E-E6B8BFF3935B}"/>
  </dataValidations>
  <pageMargins left="0.23622047244094491" right="0.23622047244094491" top="0.74803149606299213" bottom="0.74803149606299213" header="0.31496062992125984" footer="0.31496062992125984"/>
  <pageSetup paperSize="9" scale="86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A959B-9209-49AA-B78F-CB7BCA381D36}">
  <sheetPr codeName="Sheet22">
    <pageSetUpPr fitToPage="1"/>
  </sheetPr>
  <dimension ref="A1:R74"/>
  <sheetViews>
    <sheetView showGridLines="0" zoomScaleNormal="100" workbookViewId="0">
      <selection activeCell="B5" sqref="B5:C6"/>
    </sheetView>
  </sheetViews>
  <sheetFormatPr defaultColWidth="8.85546875" defaultRowHeight="12.75" x14ac:dyDescent="0.2"/>
  <cols>
    <col min="1" max="1" width="20.7109375" style="76" customWidth="1"/>
    <col min="2" max="2" width="4.42578125" style="80" customWidth="1"/>
    <col min="3" max="5" width="24.42578125" style="80" customWidth="1"/>
    <col min="6" max="6" width="10.140625" style="80" customWidth="1"/>
    <col min="7" max="9" width="8.85546875" style="80"/>
    <col min="10" max="11" width="10.140625" style="80" bestFit="1" customWidth="1"/>
    <col min="12" max="15" width="13.7109375" style="80" customWidth="1"/>
    <col min="16" max="17" width="14.5703125" style="80" customWidth="1"/>
    <col min="18" max="18" width="8.85546875" style="150"/>
    <col min="19" max="16384" width="8.85546875" style="80"/>
  </cols>
  <sheetData>
    <row r="1" spans="1:18" ht="15.75" x14ac:dyDescent="0.25">
      <c r="B1" s="77" t="s">
        <v>44</v>
      </c>
      <c r="C1" s="78"/>
      <c r="D1" s="78"/>
      <c r="E1" s="79" t="s">
        <v>1</v>
      </c>
      <c r="G1" s="78"/>
      <c r="H1" s="78"/>
      <c r="I1" s="78"/>
      <c r="R1" s="114">
        <f>IF(Beneficiaries!$P$30&gt;0,1,"")</f>
        <v>1</v>
      </c>
    </row>
    <row r="2" spans="1:18" ht="15.75" x14ac:dyDescent="0.25"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114">
        <f>IF('Beneficiaries (2)'!$P$30&gt;0,1,"")</f>
        <v>1</v>
      </c>
    </row>
    <row r="3" spans="1:18" x14ac:dyDescent="0.2">
      <c r="B3" s="210" t="s">
        <v>28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81"/>
      <c r="R3" s="114">
        <f>IF('Beneficiaries (3)'!$P$30&gt;0,1,"")</f>
        <v>1</v>
      </c>
    </row>
    <row r="4" spans="1:18" x14ac:dyDescent="0.2">
      <c r="C4" s="77"/>
      <c r="D4" s="77"/>
      <c r="E4" s="77"/>
      <c r="F4" s="77"/>
      <c r="G4" s="77"/>
      <c r="R4" s="114">
        <f>IF('Beneficiaries (4)'!$P$30&gt;0,1,"")</f>
        <v>1</v>
      </c>
    </row>
    <row r="5" spans="1:18" ht="12.75" customHeight="1" x14ac:dyDescent="0.2">
      <c r="B5" s="211" t="s">
        <v>12</v>
      </c>
      <c r="C5" s="212"/>
      <c r="D5" s="215" t="str">
        <f>Project!$Z$25</f>
        <v>WSDS/24/111i</v>
      </c>
      <c r="E5" s="215"/>
      <c r="F5" s="82"/>
      <c r="H5" s="83" t="s">
        <v>80</v>
      </c>
      <c r="I5" s="83" t="s">
        <v>81</v>
      </c>
      <c r="J5" s="77"/>
      <c r="K5" s="216" t="s">
        <v>78</v>
      </c>
      <c r="L5" s="216"/>
      <c r="M5" s="216"/>
      <c r="N5" s="85"/>
      <c r="O5" s="85"/>
      <c r="P5" s="77"/>
      <c r="Q5" s="77"/>
      <c r="R5" s="114">
        <f>IF('Beneficiaries (5)'!$P$30&gt;0,1,"")</f>
        <v>1</v>
      </c>
    </row>
    <row r="6" spans="1:18" x14ac:dyDescent="0.2">
      <c r="B6" s="213"/>
      <c r="C6" s="214"/>
      <c r="D6" s="215"/>
      <c r="E6" s="215"/>
      <c r="F6" s="82"/>
      <c r="H6" s="112" t="str">
        <f>TEXT(Project!$AN$1,"YYYY")</f>
        <v>2023</v>
      </c>
      <c r="I6" s="112" t="str">
        <f>TEXT(Project!$AN$1,"MMMM")</f>
        <v>September</v>
      </c>
      <c r="J6" s="86"/>
      <c r="K6" s="57">
        <v>1</v>
      </c>
      <c r="L6" s="84" t="s">
        <v>79</v>
      </c>
      <c r="M6" s="113">
        <f>IF(K6&gt;0,COUNT(R1:R20),"")</f>
        <v>14</v>
      </c>
      <c r="N6" s="85"/>
      <c r="O6" s="85"/>
      <c r="P6" s="87"/>
      <c r="Q6" s="87"/>
      <c r="R6" s="114">
        <f>IF('Beneficiaries (6)'!$P$30&gt;0,1,"")</f>
        <v>1</v>
      </c>
    </row>
    <row r="7" spans="1:18" x14ac:dyDescent="0.2">
      <c r="B7" s="88"/>
      <c r="C7" s="88"/>
      <c r="D7" s="88"/>
      <c r="E7" s="87"/>
      <c r="F7" s="87"/>
      <c r="H7" s="86"/>
      <c r="I7" s="86"/>
      <c r="J7" s="86"/>
      <c r="K7" s="87"/>
      <c r="L7" s="85"/>
      <c r="M7" s="85"/>
      <c r="N7" s="85"/>
      <c r="O7" s="85"/>
      <c r="P7" s="87"/>
      <c r="Q7" s="87"/>
      <c r="R7" s="114">
        <f>IF('Beneficiaries (7)'!$P$30&gt;0,1,"")</f>
        <v>1</v>
      </c>
    </row>
    <row r="8" spans="1:18" x14ac:dyDescent="0.2">
      <c r="B8" s="89"/>
      <c r="C8" s="90" t="s">
        <v>34</v>
      </c>
      <c r="D8" s="90" t="s">
        <v>34</v>
      </c>
      <c r="E8" s="90" t="s">
        <v>34</v>
      </c>
      <c r="F8" s="90" t="s">
        <v>35</v>
      </c>
      <c r="G8" s="89"/>
      <c r="H8" s="89"/>
      <c r="I8" s="90" t="s">
        <v>36</v>
      </c>
      <c r="J8" s="89"/>
      <c r="K8" s="90" t="s">
        <v>37</v>
      </c>
      <c r="L8" s="90" t="s">
        <v>38</v>
      </c>
      <c r="M8" s="90" t="s">
        <v>42</v>
      </c>
      <c r="N8" s="90"/>
      <c r="O8" s="90" t="s">
        <v>104</v>
      </c>
      <c r="P8" s="90"/>
      <c r="Q8" s="91"/>
      <c r="R8" s="114">
        <f>IF('Beneficiaries (8)'!$P$30&gt;0,1,"")</f>
        <v>1</v>
      </c>
    </row>
    <row r="9" spans="1:18" ht="45" x14ac:dyDescent="0.2">
      <c r="B9" s="92" t="s">
        <v>29</v>
      </c>
      <c r="C9" s="92" t="s">
        <v>30</v>
      </c>
      <c r="D9" s="92" t="s">
        <v>31</v>
      </c>
      <c r="E9" s="92" t="s">
        <v>32</v>
      </c>
      <c r="F9" s="93" t="s">
        <v>96</v>
      </c>
      <c r="G9" s="93" t="s">
        <v>33</v>
      </c>
      <c r="H9" s="93" t="s">
        <v>76</v>
      </c>
      <c r="I9" s="93" t="s">
        <v>77</v>
      </c>
      <c r="J9" s="93" t="s">
        <v>95</v>
      </c>
      <c r="K9" s="93" t="s">
        <v>94</v>
      </c>
      <c r="L9" s="93" t="s">
        <v>41</v>
      </c>
      <c r="M9" s="93" t="s">
        <v>103</v>
      </c>
      <c r="N9" s="93" t="s">
        <v>116</v>
      </c>
      <c r="O9" s="93" t="s">
        <v>102</v>
      </c>
      <c r="P9" s="93" t="s">
        <v>117</v>
      </c>
      <c r="Q9" s="94"/>
      <c r="R9" s="114">
        <f>IF('Beneficiaries (9)'!$P$30&gt;0,1,"")</f>
        <v>1</v>
      </c>
    </row>
    <row r="10" spans="1:18" x14ac:dyDescent="0.2">
      <c r="A10" s="100" t="str">
        <f>ID_Valid(E10)</f>
        <v/>
      </c>
      <c r="B10" s="72">
        <v>141</v>
      </c>
      <c r="C10" s="107" t="str">
        <f>IFERROR(INDEX(Logs!$B$2:$B$500,MATCH('Beneficiaries (8)'!$B10,Logs!$A$2:$A$500,0)),"")</f>
        <v>Rebecca</v>
      </c>
      <c r="D10" s="107" t="str">
        <f>IFERROR(INDEX(Logs!$C$2:$C$500,MATCH('Beneficiaries (8)'!$B10,Logs!$A$2:$A$500,0)),"")</f>
        <v>Matubatuba</v>
      </c>
      <c r="E10" s="108" t="str">
        <f>IFERROR(INDEX(Logs!$D$2:$D$500,MATCH('Beneficiaries (8)'!$B10,Logs!$A$2:$A$500,0)),"")</f>
        <v>8611231014081</v>
      </c>
      <c r="F10" s="73" t="s">
        <v>761</v>
      </c>
      <c r="G10" s="101" t="str">
        <f t="shared" ref="G10:G29" si="0">TheGender(E10)</f>
        <v>F</v>
      </c>
      <c r="H10" s="72" t="s">
        <v>761</v>
      </c>
      <c r="I10" s="74" t="s">
        <v>762</v>
      </c>
      <c r="J10" s="110" t="str">
        <f>IFERROR(INDEX(Logs!$E$2:$E$500,MATCH('Beneficiaries (8)'!$B10,Logs!$A$2:$A$500,0)),"")</f>
        <v>23/01/2023</v>
      </c>
      <c r="K10" s="110" t="str">
        <f>IFERROR(INDEX(Logs!$F$2:$F$500,MATCH('Beneficiaries (8)'!$B10,Logs!$A$2:$A$500,0)),"")</f>
        <v>31/01/2024</v>
      </c>
      <c r="L10" s="111">
        <f>IFERROR(INDEX(Logs!$G$2:$G$500,MATCH('Beneficiaries (8)'!$B10,Logs!$A$2:$A$500,0)),0)</f>
        <v>22</v>
      </c>
      <c r="M10" s="72">
        <v>0</v>
      </c>
      <c r="N10" s="101">
        <f>M10+L10</f>
        <v>22</v>
      </c>
      <c r="O10" s="102">
        <f>IFERROR(INDEX(Logs!$H$2:$H$500,MATCH('Beneficiaries (8)'!$B10,Logs!$A$2:$A$500,0)),)</f>
        <v>204.16</v>
      </c>
      <c r="P10" s="103">
        <f>IFERROR(N10*O10,0)</f>
        <v>4491.5199999999995</v>
      </c>
      <c r="Q10" s="95"/>
      <c r="R10" s="114">
        <f>IF('Beneficiaries (10)'!$P$30&gt;0,1,"")</f>
        <v>1</v>
      </c>
    </row>
    <row r="11" spans="1:18" x14ac:dyDescent="0.2">
      <c r="A11" s="100" t="str">
        <f t="shared" ref="A11:A29" si="1">ID_Valid(E11)</f>
        <v/>
      </c>
      <c r="B11" s="72">
        <v>142</v>
      </c>
      <c r="C11" s="107" t="str">
        <f>IFERROR(INDEX(Logs!$B$2:$B$500,MATCH('Beneficiaries (8)'!$B11,Logs!$A$2:$A$500,0)),"")</f>
        <v>Zizipho</v>
      </c>
      <c r="D11" s="107" t="str">
        <f>IFERROR(INDEX(Logs!$C$2:$C$500,MATCH('Beneficiaries (8)'!$B11,Logs!$A$2:$A$500,0)),"")</f>
        <v>Mafilika</v>
      </c>
      <c r="E11" s="108" t="str">
        <f>IFERROR(INDEX(Logs!$D$2:$D$500,MATCH('Beneficiaries (8)'!$B11,Logs!$A$2:$A$500,0)),"")</f>
        <v>9712021161089</v>
      </c>
      <c r="F11" s="73" t="s">
        <v>761</v>
      </c>
      <c r="G11" s="101" t="str">
        <f t="shared" si="0"/>
        <v>F</v>
      </c>
      <c r="H11" s="72" t="s">
        <v>761</v>
      </c>
      <c r="I11" s="72" t="s">
        <v>762</v>
      </c>
      <c r="J11" s="111" t="str">
        <f>IFERROR(INDEX(Logs!$E$2:$E$500,MATCH('Beneficiaries (8)'!$B11,Logs!$A$2:$A$500,0)),"")</f>
        <v>23/01/2023</v>
      </c>
      <c r="K11" s="111" t="str">
        <f>IFERROR(INDEX(Logs!$F$2:$F$500,MATCH('Beneficiaries (8)'!$B11,Logs!$A$2:$A$500,0)),"")</f>
        <v>31/01/2024</v>
      </c>
      <c r="L11" s="111">
        <f>IFERROR(INDEX(Logs!$G$2:$G$500,MATCH('Beneficiaries (8)'!$B11,Logs!$A$2:$A$500,0)),0)</f>
        <v>22</v>
      </c>
      <c r="M11" s="72">
        <v>0</v>
      </c>
      <c r="N11" s="101">
        <f>L11+M11</f>
        <v>22</v>
      </c>
      <c r="O11" s="102">
        <f>IFERROR(INDEX(Logs!$H$2:$H$500,MATCH('Beneficiaries (8)'!$B11,Logs!$A$2:$A$500,0)),)</f>
        <v>204.16</v>
      </c>
      <c r="P11" s="103">
        <f t="shared" ref="P11:P29" si="2">IFERROR(N11*O11,0)</f>
        <v>4491.5199999999995</v>
      </c>
      <c r="Q11" s="95"/>
      <c r="R11" s="114">
        <f>IF('Beneficiaries (11)'!$P$30&gt;0,1,"")</f>
        <v>1</v>
      </c>
    </row>
    <row r="12" spans="1:18" x14ac:dyDescent="0.2">
      <c r="A12" s="100" t="str">
        <f t="shared" si="1"/>
        <v/>
      </c>
      <c r="B12" s="72">
        <v>143</v>
      </c>
      <c r="C12" s="107" t="str">
        <f>IFERROR(INDEX(Logs!$B$2:$B$500,MATCH('Beneficiaries (8)'!$B12,Logs!$A$2:$A$500,0)),"")</f>
        <v>Cynthia</v>
      </c>
      <c r="D12" s="107" t="str">
        <f>IFERROR(INDEX(Logs!$C$2:$C$500,MATCH('Beneficiaries (8)'!$B12,Logs!$A$2:$A$500,0)),"")</f>
        <v>Mhlanga</v>
      </c>
      <c r="E12" s="108" t="str">
        <f>IFERROR(INDEX(Logs!$D$2:$D$500,MATCH('Beneficiaries (8)'!$B12,Logs!$A$2:$A$500,0)),"")</f>
        <v>6906110816081</v>
      </c>
      <c r="F12" s="73" t="s">
        <v>761</v>
      </c>
      <c r="G12" s="101" t="str">
        <f t="shared" si="0"/>
        <v>F</v>
      </c>
      <c r="H12" s="72" t="s">
        <v>761</v>
      </c>
      <c r="I12" s="72" t="s">
        <v>762</v>
      </c>
      <c r="J12" s="111" t="str">
        <f>IFERROR(INDEX(Logs!$E$2:$E$500,MATCH('Beneficiaries (8)'!$B12,Logs!$A$2:$A$500,0)),"")</f>
        <v>23/01/2023</v>
      </c>
      <c r="K12" s="111" t="str">
        <f>IFERROR(INDEX(Logs!$F$2:$F$500,MATCH('Beneficiaries (8)'!$B12,Logs!$A$2:$A$500,0)),"")</f>
        <v>31/01/2024</v>
      </c>
      <c r="L12" s="111">
        <f>IFERROR(INDEX(Logs!$G$2:$G$500,MATCH('Beneficiaries (8)'!$B12,Logs!$A$2:$A$500,0)),0)</f>
        <v>21</v>
      </c>
      <c r="M12" s="72">
        <v>0</v>
      </c>
      <c r="N12" s="101">
        <f t="shared" ref="N12:N29" si="3">L12+M12</f>
        <v>21</v>
      </c>
      <c r="O12" s="102">
        <f>IFERROR(INDEX(Logs!$H$2:$H$500,MATCH('Beneficiaries (8)'!$B12,Logs!$A$2:$A$500,0)),)</f>
        <v>204.16</v>
      </c>
      <c r="P12" s="103">
        <f t="shared" si="2"/>
        <v>4287.3599999999997</v>
      </c>
      <c r="Q12" s="95"/>
      <c r="R12" s="114">
        <f>IF('Beneficiaries (12)'!$P$30&gt;0,1,"")</f>
        <v>1</v>
      </c>
    </row>
    <row r="13" spans="1:18" x14ac:dyDescent="0.2">
      <c r="A13" s="100" t="str">
        <f t="shared" si="1"/>
        <v/>
      </c>
      <c r="B13" s="72">
        <v>144</v>
      </c>
      <c r="C13" s="107" t="str">
        <f>IFERROR(INDEX(Logs!$B$2:$B$500,MATCH('Beneficiaries (8)'!$B13,Logs!$A$2:$A$500,0)),"")</f>
        <v>Zodwa</v>
      </c>
      <c r="D13" s="107" t="str">
        <f>IFERROR(INDEX(Logs!$C$2:$C$500,MATCH('Beneficiaries (8)'!$B13,Logs!$A$2:$A$500,0)),"")</f>
        <v>Masangwana</v>
      </c>
      <c r="E13" s="108" t="str">
        <f>IFERROR(INDEX(Logs!$D$2:$D$500,MATCH('Beneficiaries (8)'!$B13,Logs!$A$2:$A$500,0)),"")</f>
        <v>7303220962089</v>
      </c>
      <c r="F13" s="73" t="s">
        <v>761</v>
      </c>
      <c r="G13" s="101" t="str">
        <f t="shared" si="0"/>
        <v>F</v>
      </c>
      <c r="H13" s="72" t="s">
        <v>761</v>
      </c>
      <c r="I13" s="72" t="s">
        <v>762</v>
      </c>
      <c r="J13" s="111" t="str">
        <f>IFERROR(INDEX(Logs!$E$2:$E$500,MATCH('Beneficiaries (8)'!$B13,Logs!$A$2:$A$500,0)),"")</f>
        <v>23/01/2023</v>
      </c>
      <c r="K13" s="111" t="str">
        <f>IFERROR(INDEX(Logs!$F$2:$F$500,MATCH('Beneficiaries (8)'!$B13,Logs!$A$2:$A$500,0)),"")</f>
        <v>31/01/2024</v>
      </c>
      <c r="L13" s="111">
        <f>IFERROR(INDEX(Logs!$G$2:$G$500,MATCH('Beneficiaries (8)'!$B13,Logs!$A$2:$A$500,0)),0)</f>
        <v>22</v>
      </c>
      <c r="M13" s="72">
        <v>0</v>
      </c>
      <c r="N13" s="101">
        <f t="shared" si="3"/>
        <v>22</v>
      </c>
      <c r="O13" s="102">
        <f>IFERROR(INDEX(Logs!$H$2:$H$500,MATCH('Beneficiaries (8)'!$B13,Logs!$A$2:$A$500,0)),)</f>
        <v>204.16</v>
      </c>
      <c r="P13" s="103">
        <f t="shared" si="2"/>
        <v>4491.5199999999995</v>
      </c>
      <c r="Q13" s="95"/>
      <c r="R13" s="114">
        <f>IF('Beneficiaries (13)'!$P$30&gt;0,1,"")</f>
        <v>1</v>
      </c>
    </row>
    <row r="14" spans="1:18" x14ac:dyDescent="0.2">
      <c r="A14" s="100" t="str">
        <f t="shared" si="1"/>
        <v/>
      </c>
      <c r="B14" s="72">
        <v>145</v>
      </c>
      <c r="C14" s="107" t="str">
        <f>IFERROR(INDEX(Logs!$B$2:$B$500,MATCH('Beneficiaries (8)'!$B14,Logs!$A$2:$A$500,0)),"")</f>
        <v>Noncedo</v>
      </c>
      <c r="D14" s="107" t="str">
        <f>IFERROR(INDEX(Logs!$C$2:$C$500,MATCH('Beneficiaries (8)'!$B14,Logs!$A$2:$A$500,0)),"")</f>
        <v>Sibali</v>
      </c>
      <c r="E14" s="108" t="str">
        <f>IFERROR(INDEX(Logs!$D$2:$D$500,MATCH('Beneficiaries (8)'!$B14,Logs!$A$2:$A$500,0)),"")</f>
        <v>8102180926087</v>
      </c>
      <c r="F14" s="73" t="s">
        <v>761</v>
      </c>
      <c r="G14" s="101" t="str">
        <f t="shared" si="0"/>
        <v>F</v>
      </c>
      <c r="H14" s="72" t="s">
        <v>761</v>
      </c>
      <c r="I14" s="72" t="s">
        <v>762</v>
      </c>
      <c r="J14" s="111" t="str">
        <f>IFERROR(INDEX(Logs!$E$2:$E$500,MATCH('Beneficiaries (8)'!$B14,Logs!$A$2:$A$500,0)),"")</f>
        <v>23/01/2023</v>
      </c>
      <c r="K14" s="111" t="str">
        <f>IFERROR(INDEX(Logs!$F$2:$F$500,MATCH('Beneficiaries (8)'!$B14,Logs!$A$2:$A$500,0)),"")</f>
        <v>31/01/2024</v>
      </c>
      <c r="L14" s="111">
        <f>IFERROR(INDEX(Logs!$G$2:$G$500,MATCH('Beneficiaries (8)'!$B14,Logs!$A$2:$A$500,0)),0)</f>
        <v>22</v>
      </c>
      <c r="M14" s="72">
        <v>0</v>
      </c>
      <c r="N14" s="101">
        <f t="shared" si="3"/>
        <v>22</v>
      </c>
      <c r="O14" s="102">
        <f>IFERROR(INDEX(Logs!$H$2:$H$500,MATCH('Beneficiaries (8)'!$B14,Logs!$A$2:$A$500,0)),)</f>
        <v>204.16</v>
      </c>
      <c r="P14" s="103">
        <f t="shared" si="2"/>
        <v>4491.5199999999995</v>
      </c>
      <c r="Q14" s="95"/>
      <c r="R14" s="114">
        <f>IF('Beneficiaries (14)'!$P$30&gt;0,1,"")</f>
        <v>1</v>
      </c>
    </row>
    <row r="15" spans="1:18" x14ac:dyDescent="0.2">
      <c r="A15" s="100" t="str">
        <f t="shared" si="1"/>
        <v/>
      </c>
      <c r="B15" s="72">
        <v>146</v>
      </c>
      <c r="C15" s="107" t="str">
        <f>IFERROR(INDEX(Logs!$B$2:$B$500,MATCH('Beneficiaries (8)'!$B15,Logs!$A$2:$A$500,0)),"")</f>
        <v>Vuyokazi</v>
      </c>
      <c r="D15" s="107" t="str">
        <f>IFERROR(INDEX(Logs!$C$2:$C$500,MATCH('Beneficiaries (8)'!$B15,Logs!$A$2:$A$500,0)),"")</f>
        <v>Pita</v>
      </c>
      <c r="E15" s="108" t="str">
        <f>IFERROR(INDEX(Logs!$D$2:$D$500,MATCH('Beneficiaries (8)'!$B15,Logs!$A$2:$A$500,0)),"")</f>
        <v>8109030541081</v>
      </c>
      <c r="F15" s="73" t="s">
        <v>761</v>
      </c>
      <c r="G15" s="101" t="str">
        <f t="shared" si="0"/>
        <v>F</v>
      </c>
      <c r="H15" s="72" t="s">
        <v>761</v>
      </c>
      <c r="I15" s="72" t="s">
        <v>762</v>
      </c>
      <c r="J15" s="111" t="str">
        <f>IFERROR(INDEX(Logs!$E$2:$E$500,MATCH('Beneficiaries (8)'!$B15,Logs!$A$2:$A$500,0)),"")</f>
        <v>23/01/2023</v>
      </c>
      <c r="K15" s="111" t="str">
        <f>IFERROR(INDEX(Logs!$F$2:$F$500,MATCH('Beneficiaries (8)'!$B15,Logs!$A$2:$A$500,0)),"")</f>
        <v>31/01/2024</v>
      </c>
      <c r="L15" s="111">
        <f>IFERROR(INDEX(Logs!$G$2:$G$500,MATCH('Beneficiaries (8)'!$B15,Logs!$A$2:$A$500,0)),0)</f>
        <v>22</v>
      </c>
      <c r="M15" s="72">
        <v>0</v>
      </c>
      <c r="N15" s="101">
        <f t="shared" si="3"/>
        <v>22</v>
      </c>
      <c r="O15" s="102">
        <f>IFERROR(INDEX(Logs!$H$2:$H$500,MATCH('Beneficiaries (8)'!$B15,Logs!$A$2:$A$500,0)),)</f>
        <v>204.16</v>
      </c>
      <c r="P15" s="103">
        <f t="shared" si="2"/>
        <v>4491.5199999999995</v>
      </c>
      <c r="Q15" s="95"/>
      <c r="R15" s="115"/>
    </row>
    <row r="16" spans="1:18" x14ac:dyDescent="0.2">
      <c r="A16" s="100" t="str">
        <f t="shared" si="1"/>
        <v/>
      </c>
      <c r="B16" s="72">
        <v>147</v>
      </c>
      <c r="C16" s="107" t="str">
        <f>IFERROR(INDEX(Logs!$B$2:$B$500,MATCH('Beneficiaries (8)'!$B16,Logs!$A$2:$A$500,0)),"")</f>
        <v>Siphosethu</v>
      </c>
      <c r="D16" s="107" t="str">
        <f>IFERROR(INDEX(Logs!$C$2:$C$500,MATCH('Beneficiaries (8)'!$B16,Logs!$A$2:$A$500,0)),"")</f>
        <v>Mandla</v>
      </c>
      <c r="E16" s="108" t="str">
        <f>IFERROR(INDEX(Logs!$D$2:$D$500,MATCH('Beneficiaries (8)'!$B16,Logs!$A$2:$A$500,0)),"")</f>
        <v>9412181236082</v>
      </c>
      <c r="F16" s="73" t="s">
        <v>761</v>
      </c>
      <c r="G16" s="101" t="str">
        <f t="shared" si="0"/>
        <v>F</v>
      </c>
      <c r="H16" s="72" t="s">
        <v>761</v>
      </c>
      <c r="I16" s="72" t="s">
        <v>762</v>
      </c>
      <c r="J16" s="111" t="str">
        <f>IFERROR(INDEX(Logs!$E$2:$E$500,MATCH('Beneficiaries (8)'!$B16,Logs!$A$2:$A$500,0)),"")</f>
        <v>23/01/2023</v>
      </c>
      <c r="K16" s="111" t="str">
        <f>IFERROR(INDEX(Logs!$F$2:$F$500,MATCH('Beneficiaries (8)'!$B16,Logs!$A$2:$A$500,0)),"")</f>
        <v>31/01/2024</v>
      </c>
      <c r="L16" s="111">
        <f>IFERROR(INDEX(Logs!$G$2:$G$500,MATCH('Beneficiaries (8)'!$B16,Logs!$A$2:$A$500,0)),0)</f>
        <v>22</v>
      </c>
      <c r="M16" s="72">
        <v>0</v>
      </c>
      <c r="N16" s="101">
        <f t="shared" si="3"/>
        <v>22</v>
      </c>
      <c r="O16" s="102">
        <f>IFERROR(INDEX(Logs!$H$2:$H$500,MATCH('Beneficiaries (8)'!$B16,Logs!$A$2:$A$500,0)),)</f>
        <v>204.16</v>
      </c>
      <c r="P16" s="103">
        <f t="shared" si="2"/>
        <v>4491.5199999999995</v>
      </c>
      <c r="Q16" s="95"/>
      <c r="R16" s="115"/>
    </row>
    <row r="17" spans="1:18" x14ac:dyDescent="0.2">
      <c r="A17" s="100" t="str">
        <f t="shared" si="1"/>
        <v/>
      </c>
      <c r="B17" s="72">
        <v>148</v>
      </c>
      <c r="C17" s="107" t="str">
        <f>IFERROR(INDEX(Logs!$B$2:$B$500,MATCH('Beneficiaries (8)'!$B17,Logs!$A$2:$A$500,0)),"")</f>
        <v>Ndileka</v>
      </c>
      <c r="D17" s="107" t="str">
        <f>IFERROR(INDEX(Logs!$C$2:$C$500,MATCH('Beneficiaries (8)'!$B17,Logs!$A$2:$A$500,0)),"")</f>
        <v>Duna</v>
      </c>
      <c r="E17" s="108" t="str">
        <f>IFERROR(INDEX(Logs!$D$2:$D$500,MATCH('Beneficiaries (8)'!$B17,Logs!$A$2:$A$500,0)),"")</f>
        <v>7911130462089</v>
      </c>
      <c r="F17" s="73" t="s">
        <v>761</v>
      </c>
      <c r="G17" s="101" t="str">
        <f t="shared" si="0"/>
        <v>F</v>
      </c>
      <c r="H17" s="72" t="s">
        <v>761</v>
      </c>
      <c r="I17" s="72" t="s">
        <v>762</v>
      </c>
      <c r="J17" s="111" t="str">
        <f>IFERROR(INDEX(Logs!$E$2:$E$500,MATCH('Beneficiaries (8)'!$B17,Logs!$A$2:$A$500,0)),"")</f>
        <v>23/01/2023</v>
      </c>
      <c r="K17" s="111" t="str">
        <f>IFERROR(INDEX(Logs!$F$2:$F$500,MATCH('Beneficiaries (8)'!$B17,Logs!$A$2:$A$500,0)),"")</f>
        <v>31/01/2024</v>
      </c>
      <c r="L17" s="111">
        <f>IFERROR(INDEX(Logs!$G$2:$G$500,MATCH('Beneficiaries (8)'!$B17,Logs!$A$2:$A$500,0)),0)</f>
        <v>22</v>
      </c>
      <c r="M17" s="72">
        <v>0</v>
      </c>
      <c r="N17" s="101">
        <f t="shared" si="3"/>
        <v>22</v>
      </c>
      <c r="O17" s="102">
        <f>IFERROR(INDEX(Logs!$H$2:$H$500,MATCH('Beneficiaries (8)'!$B17,Logs!$A$2:$A$500,0)),)</f>
        <v>204.16</v>
      </c>
      <c r="P17" s="103">
        <f t="shared" si="2"/>
        <v>4491.5199999999995</v>
      </c>
      <c r="Q17" s="95"/>
      <c r="R17" s="115"/>
    </row>
    <row r="18" spans="1:18" x14ac:dyDescent="0.2">
      <c r="A18" s="100" t="str">
        <f t="shared" si="1"/>
        <v/>
      </c>
      <c r="B18" s="72">
        <v>149</v>
      </c>
      <c r="C18" s="107" t="str">
        <f>IFERROR(INDEX(Logs!$B$2:$B$500,MATCH('Beneficiaries (8)'!$B18,Logs!$A$2:$A$500,0)),"")</f>
        <v>Mlindi</v>
      </c>
      <c r="D18" s="107" t="str">
        <f>IFERROR(INDEX(Logs!$C$2:$C$500,MATCH('Beneficiaries (8)'!$B18,Logs!$A$2:$A$500,0)),"")</f>
        <v>Nogwebela</v>
      </c>
      <c r="E18" s="108" t="str">
        <f>IFERROR(INDEX(Logs!$D$2:$D$500,MATCH('Beneficiaries (8)'!$B18,Logs!$A$2:$A$500,0)),"")</f>
        <v>7911225630087</v>
      </c>
      <c r="F18" s="73" t="s">
        <v>761</v>
      </c>
      <c r="G18" s="101" t="str">
        <f t="shared" si="0"/>
        <v>M</v>
      </c>
      <c r="H18" s="72" t="s">
        <v>761</v>
      </c>
      <c r="I18" s="72" t="s">
        <v>762</v>
      </c>
      <c r="J18" s="111" t="str">
        <f>IFERROR(INDEX(Logs!$E$2:$E$500,MATCH('Beneficiaries (8)'!$B18,Logs!$A$2:$A$500,0)),"")</f>
        <v>23/01/2023</v>
      </c>
      <c r="K18" s="111" t="str">
        <f>IFERROR(INDEX(Logs!$F$2:$F$500,MATCH('Beneficiaries (8)'!$B18,Logs!$A$2:$A$500,0)),"")</f>
        <v>31/01/2024</v>
      </c>
      <c r="L18" s="111">
        <f>IFERROR(INDEX(Logs!$G$2:$G$500,MATCH('Beneficiaries (8)'!$B18,Logs!$A$2:$A$500,0)),0)</f>
        <v>22</v>
      </c>
      <c r="M18" s="72">
        <v>0</v>
      </c>
      <c r="N18" s="101">
        <f t="shared" si="3"/>
        <v>22</v>
      </c>
      <c r="O18" s="102">
        <f>IFERROR(INDEX(Logs!$H$2:$H$500,MATCH('Beneficiaries (8)'!$B18,Logs!$A$2:$A$500,0)),)</f>
        <v>204.16</v>
      </c>
      <c r="P18" s="103">
        <f t="shared" si="2"/>
        <v>4491.5199999999995</v>
      </c>
      <c r="Q18" s="95"/>
      <c r="R18" s="115"/>
    </row>
    <row r="19" spans="1:18" x14ac:dyDescent="0.2">
      <c r="A19" s="100" t="str">
        <f t="shared" si="1"/>
        <v/>
      </c>
      <c r="B19" s="72">
        <v>150</v>
      </c>
      <c r="C19" s="107" t="str">
        <f>IFERROR(INDEX(Logs!$B$2:$B$500,MATCH('Beneficiaries (8)'!$B19,Logs!$A$2:$A$500,0)),"")</f>
        <v>Phumlani</v>
      </c>
      <c r="D19" s="107" t="str">
        <f>IFERROR(INDEX(Logs!$C$2:$C$500,MATCH('Beneficiaries (8)'!$B19,Logs!$A$2:$A$500,0)),"")</f>
        <v>Bokwe</v>
      </c>
      <c r="E19" s="108" t="str">
        <f>IFERROR(INDEX(Logs!$D$2:$D$500,MATCH('Beneficiaries (8)'!$B19,Logs!$A$2:$A$500,0)),"")</f>
        <v>9107276378084</v>
      </c>
      <c r="F19" s="73" t="s">
        <v>761</v>
      </c>
      <c r="G19" s="101" t="str">
        <f t="shared" si="0"/>
        <v>M</v>
      </c>
      <c r="H19" s="72" t="s">
        <v>761</v>
      </c>
      <c r="I19" s="72" t="s">
        <v>762</v>
      </c>
      <c r="J19" s="111" t="str">
        <f>IFERROR(INDEX(Logs!$E$2:$E$500,MATCH('Beneficiaries (8)'!$B19,Logs!$A$2:$A$500,0)),"")</f>
        <v>23/01/2023</v>
      </c>
      <c r="K19" s="111" t="str">
        <f>IFERROR(INDEX(Logs!$F$2:$F$500,MATCH('Beneficiaries (8)'!$B19,Logs!$A$2:$A$500,0)),"")</f>
        <v>31/01/2024</v>
      </c>
      <c r="L19" s="111">
        <f>IFERROR(INDEX(Logs!$G$2:$G$500,MATCH('Beneficiaries (8)'!$B19,Logs!$A$2:$A$500,0)),0)</f>
        <v>22</v>
      </c>
      <c r="M19" s="72">
        <v>0</v>
      </c>
      <c r="N19" s="101">
        <f t="shared" si="3"/>
        <v>22</v>
      </c>
      <c r="O19" s="102">
        <f>IFERROR(INDEX(Logs!$H$2:$H$500,MATCH('Beneficiaries (8)'!$B19,Logs!$A$2:$A$500,0)),)</f>
        <v>204.16</v>
      </c>
      <c r="P19" s="103">
        <f t="shared" si="2"/>
        <v>4491.5199999999995</v>
      </c>
      <c r="Q19" s="95"/>
    </row>
    <row r="20" spans="1:18" x14ac:dyDescent="0.2">
      <c r="A20" s="100" t="str">
        <f t="shared" si="1"/>
        <v/>
      </c>
      <c r="B20" s="72">
        <v>151</v>
      </c>
      <c r="C20" s="107" t="str">
        <f>IFERROR(INDEX(Logs!$B$2:$B$500,MATCH('Beneficiaries (8)'!$B20,Logs!$A$2:$A$500,0)),"")</f>
        <v>Nolubabalo</v>
      </c>
      <c r="D20" s="107" t="str">
        <f>IFERROR(INDEX(Logs!$C$2:$C$500,MATCH('Beneficiaries (8)'!$B20,Logs!$A$2:$A$500,0)),"")</f>
        <v>Qinisile</v>
      </c>
      <c r="E20" s="108" t="str">
        <f>IFERROR(INDEX(Logs!$D$2:$D$500,MATCH('Beneficiaries (8)'!$B20,Logs!$A$2:$A$500,0)),"")</f>
        <v>8805081014080</v>
      </c>
      <c r="F20" s="73" t="s">
        <v>761</v>
      </c>
      <c r="G20" s="101" t="str">
        <f t="shared" si="0"/>
        <v>F</v>
      </c>
      <c r="H20" s="72" t="s">
        <v>761</v>
      </c>
      <c r="I20" s="72" t="s">
        <v>762</v>
      </c>
      <c r="J20" s="111" t="str">
        <f>IFERROR(INDEX(Logs!$E$2:$E$500,MATCH('Beneficiaries (8)'!$B20,Logs!$A$2:$A$500,0)),"")</f>
        <v>23/01/2023</v>
      </c>
      <c r="K20" s="111" t="str">
        <f>IFERROR(INDEX(Logs!$F$2:$F$500,MATCH('Beneficiaries (8)'!$B20,Logs!$A$2:$A$500,0)),"")</f>
        <v>31/01/2024</v>
      </c>
      <c r="L20" s="111">
        <f>IFERROR(INDEX(Logs!$G$2:$G$500,MATCH('Beneficiaries (8)'!$B20,Logs!$A$2:$A$500,0)),0)</f>
        <v>22</v>
      </c>
      <c r="M20" s="72">
        <v>0</v>
      </c>
      <c r="N20" s="101">
        <f t="shared" si="3"/>
        <v>22</v>
      </c>
      <c r="O20" s="102">
        <f>IFERROR(INDEX(Logs!$H$2:$H$500,MATCH('Beneficiaries (8)'!$B20,Logs!$A$2:$A$500,0)),)</f>
        <v>204.16</v>
      </c>
      <c r="P20" s="103">
        <f t="shared" si="2"/>
        <v>4491.5199999999995</v>
      </c>
      <c r="Q20" s="95"/>
    </row>
    <row r="21" spans="1:18" x14ac:dyDescent="0.2">
      <c r="A21" s="100" t="str">
        <f t="shared" si="1"/>
        <v/>
      </c>
      <c r="B21" s="72">
        <v>152</v>
      </c>
      <c r="C21" s="107" t="str">
        <f>IFERROR(INDEX(Logs!$B$2:$B$500,MATCH('Beneficiaries (8)'!$B21,Logs!$A$2:$A$500,0)),"")</f>
        <v>Boniswa</v>
      </c>
      <c r="D21" s="107" t="str">
        <f>IFERROR(INDEX(Logs!$C$2:$C$500,MATCH('Beneficiaries (8)'!$B21,Logs!$A$2:$A$500,0)),"")</f>
        <v>Makhala</v>
      </c>
      <c r="E21" s="108" t="str">
        <f>IFERROR(INDEX(Logs!$D$2:$D$500,MATCH('Beneficiaries (8)'!$B21,Logs!$A$2:$A$500,0)),"")</f>
        <v>8507310985086</v>
      </c>
      <c r="F21" s="73" t="s">
        <v>761</v>
      </c>
      <c r="G21" s="101" t="str">
        <f t="shared" si="0"/>
        <v>F</v>
      </c>
      <c r="H21" s="72" t="s">
        <v>761</v>
      </c>
      <c r="I21" s="72" t="s">
        <v>762</v>
      </c>
      <c r="J21" s="111" t="str">
        <f>IFERROR(INDEX(Logs!$E$2:$E$500,MATCH('Beneficiaries (8)'!$B21,Logs!$A$2:$A$500,0)),"")</f>
        <v>23/01/2023</v>
      </c>
      <c r="K21" s="111" t="str">
        <f>IFERROR(INDEX(Logs!$F$2:$F$500,MATCH('Beneficiaries (8)'!$B21,Logs!$A$2:$A$500,0)),"")</f>
        <v>31/01/2024</v>
      </c>
      <c r="L21" s="111">
        <f>IFERROR(INDEX(Logs!$G$2:$G$500,MATCH('Beneficiaries (8)'!$B21,Logs!$A$2:$A$500,0)),0)</f>
        <v>22</v>
      </c>
      <c r="M21" s="72">
        <v>0</v>
      </c>
      <c r="N21" s="101">
        <f t="shared" si="3"/>
        <v>22</v>
      </c>
      <c r="O21" s="102">
        <f>IFERROR(INDEX(Logs!$H$2:$H$500,MATCH('Beneficiaries (8)'!$B21,Logs!$A$2:$A$500,0)),)</f>
        <v>204.16</v>
      </c>
      <c r="P21" s="103">
        <f t="shared" si="2"/>
        <v>4491.5199999999995</v>
      </c>
      <c r="Q21" s="95"/>
    </row>
    <row r="22" spans="1:18" x14ac:dyDescent="0.2">
      <c r="A22" s="100" t="str">
        <f t="shared" si="1"/>
        <v/>
      </c>
      <c r="B22" s="72">
        <v>153</v>
      </c>
      <c r="C22" s="109" t="str">
        <f>IFERROR(INDEX(Logs!$B$2:$B$500,MATCH('Beneficiaries (8)'!$B22,Logs!$A$2:$A$500,0)),"")</f>
        <v>Nkululeko</v>
      </c>
      <c r="D22" s="107" t="str">
        <f>IFERROR(INDEX(Logs!$C$2:$C$500,MATCH('Beneficiaries (8)'!$B22,Logs!$A$2:$A$500,0)),"")</f>
        <v>Yabo</v>
      </c>
      <c r="E22" s="108" t="str">
        <f>IFERROR(INDEX(Logs!$D$2:$D$500,MATCH('Beneficiaries (8)'!$B22,Logs!$A$2:$A$500,0)),"")</f>
        <v>8409226403082</v>
      </c>
      <c r="F22" s="73" t="s">
        <v>761</v>
      </c>
      <c r="G22" s="101" t="str">
        <f t="shared" si="0"/>
        <v>M</v>
      </c>
      <c r="H22" s="72" t="s">
        <v>761</v>
      </c>
      <c r="I22" s="72" t="s">
        <v>762</v>
      </c>
      <c r="J22" s="111" t="str">
        <f>IFERROR(INDEX(Logs!$E$2:$E$500,MATCH('Beneficiaries (8)'!$B22,Logs!$A$2:$A$500,0)),"")</f>
        <v>01/02/2023</v>
      </c>
      <c r="K22" s="111" t="str">
        <f>IFERROR(INDEX(Logs!$F$2:$F$500,MATCH('Beneficiaries (8)'!$B22,Logs!$A$2:$A$500,0)),"")</f>
        <v>31/01/2024</v>
      </c>
      <c r="L22" s="111">
        <f>IFERROR(INDEX(Logs!$G$2:$G$500,MATCH('Beneficiaries (8)'!$B22,Logs!$A$2:$A$500,0)),0)</f>
        <v>22</v>
      </c>
      <c r="M22" s="72">
        <v>0</v>
      </c>
      <c r="N22" s="101">
        <f t="shared" si="3"/>
        <v>22</v>
      </c>
      <c r="O22" s="102">
        <f>IFERROR(INDEX(Logs!$H$2:$H$500,MATCH('Beneficiaries (8)'!$B22,Logs!$A$2:$A$500,0)),)</f>
        <v>204.16</v>
      </c>
      <c r="P22" s="103">
        <f t="shared" si="2"/>
        <v>4491.5199999999995</v>
      </c>
      <c r="Q22" s="95"/>
    </row>
    <row r="23" spans="1:18" x14ac:dyDescent="0.2">
      <c r="A23" s="100" t="str">
        <f t="shared" si="1"/>
        <v/>
      </c>
      <c r="B23" s="72">
        <v>154</v>
      </c>
      <c r="C23" s="109" t="str">
        <f>IFERROR(INDEX(Logs!$B$2:$B$500,MATCH('Beneficiaries (8)'!$B23,Logs!$A$2:$A$500,0)),"")</f>
        <v>Sanele</v>
      </c>
      <c r="D23" s="107" t="str">
        <f>IFERROR(INDEX(Logs!$C$2:$C$500,MATCH('Beneficiaries (8)'!$B23,Logs!$A$2:$A$500,0)),"")</f>
        <v>Tsiba</v>
      </c>
      <c r="E23" s="108" t="str">
        <f>IFERROR(INDEX(Logs!$D$2:$D$500,MATCH('Beneficiaries (8)'!$B23,Logs!$A$2:$A$500,0)),"")</f>
        <v>9405106394085</v>
      </c>
      <c r="F23" s="73" t="s">
        <v>761</v>
      </c>
      <c r="G23" s="101" t="str">
        <f t="shared" si="0"/>
        <v>M</v>
      </c>
      <c r="H23" s="72" t="s">
        <v>761</v>
      </c>
      <c r="I23" s="72" t="s">
        <v>762</v>
      </c>
      <c r="J23" s="111" t="str">
        <f>IFERROR(INDEX(Logs!$E$2:$E$500,MATCH('Beneficiaries (8)'!$B23,Logs!$A$2:$A$500,0)),"")</f>
        <v>01/02/2023</v>
      </c>
      <c r="K23" s="111" t="str">
        <f>IFERROR(INDEX(Logs!$F$2:$F$500,MATCH('Beneficiaries (8)'!$B23,Logs!$A$2:$A$500,0)),"")</f>
        <v>31/01/2024</v>
      </c>
      <c r="L23" s="111">
        <f>IFERROR(INDEX(Logs!$G$2:$G$500,MATCH('Beneficiaries (8)'!$B23,Logs!$A$2:$A$500,0)),0)</f>
        <v>22</v>
      </c>
      <c r="M23" s="72">
        <v>0</v>
      </c>
      <c r="N23" s="101">
        <f t="shared" si="3"/>
        <v>22</v>
      </c>
      <c r="O23" s="102">
        <f>IFERROR(INDEX(Logs!$H$2:$H$500,MATCH('Beneficiaries (8)'!$B23,Logs!$A$2:$A$500,0)),)</f>
        <v>204.16</v>
      </c>
      <c r="P23" s="103">
        <f t="shared" si="2"/>
        <v>4491.5199999999995</v>
      </c>
      <c r="Q23" s="95"/>
    </row>
    <row r="24" spans="1:18" x14ac:dyDescent="0.2">
      <c r="A24" s="100" t="str">
        <f t="shared" si="1"/>
        <v/>
      </c>
      <c r="B24" s="72">
        <v>155</v>
      </c>
      <c r="C24" s="109" t="str">
        <f>IFERROR(INDEX(Logs!$B$2:$B$500,MATCH('Beneficiaries (8)'!$B24,Logs!$A$2:$A$500,0)),"")</f>
        <v>Nolubabalo</v>
      </c>
      <c r="D24" s="107" t="str">
        <f>IFERROR(INDEX(Logs!$C$2:$C$500,MATCH('Beneficiaries (8)'!$B24,Logs!$A$2:$A$500,0)),"")</f>
        <v>Wothini</v>
      </c>
      <c r="E24" s="108" t="str">
        <f>IFERROR(INDEX(Logs!$D$2:$D$500,MATCH('Beneficiaries (8)'!$B24,Logs!$A$2:$A$500,0)),"")</f>
        <v>9008080764081</v>
      </c>
      <c r="F24" s="73" t="s">
        <v>761</v>
      </c>
      <c r="G24" s="101" t="str">
        <f t="shared" si="0"/>
        <v>F</v>
      </c>
      <c r="H24" s="72" t="s">
        <v>761</v>
      </c>
      <c r="I24" s="72" t="s">
        <v>762</v>
      </c>
      <c r="J24" s="111" t="str">
        <f>IFERROR(INDEX(Logs!$E$2:$E$500,MATCH('Beneficiaries (8)'!$B24,Logs!$A$2:$A$500,0)),"")</f>
        <v>01/02/2023</v>
      </c>
      <c r="K24" s="111" t="str">
        <f>IFERROR(INDEX(Logs!$F$2:$F$500,MATCH('Beneficiaries (8)'!$B24,Logs!$A$2:$A$500,0)),"")</f>
        <v>31/01/2024</v>
      </c>
      <c r="L24" s="111">
        <f>IFERROR(INDEX(Logs!$G$2:$G$500,MATCH('Beneficiaries (8)'!$B24,Logs!$A$2:$A$500,0)),0)</f>
        <v>22</v>
      </c>
      <c r="M24" s="72">
        <v>0</v>
      </c>
      <c r="N24" s="101">
        <f t="shared" si="3"/>
        <v>22</v>
      </c>
      <c r="O24" s="102">
        <f>IFERROR(INDEX(Logs!$H$2:$H$500,MATCH('Beneficiaries (8)'!$B24,Logs!$A$2:$A$500,0)),)</f>
        <v>204.16</v>
      </c>
      <c r="P24" s="103">
        <f t="shared" si="2"/>
        <v>4491.5199999999995</v>
      </c>
      <c r="Q24" s="95"/>
    </row>
    <row r="25" spans="1:18" x14ac:dyDescent="0.2">
      <c r="A25" s="100" t="str">
        <f t="shared" si="1"/>
        <v/>
      </c>
      <c r="B25" s="72">
        <v>156</v>
      </c>
      <c r="C25" s="110" t="str">
        <f>IFERROR(INDEX(Logs!$B$2:$B$500,MATCH('Beneficiaries (8)'!$B25,Logs!$A$2:$A$500,0)),"")</f>
        <v>Sandile</v>
      </c>
      <c r="D25" s="107" t="str">
        <f>IFERROR(INDEX(Logs!$C$2:$C$500,MATCH('Beneficiaries (8)'!$B25,Logs!$A$2:$A$500,0)),"")</f>
        <v>Mawase</v>
      </c>
      <c r="E25" s="108" t="str">
        <f>IFERROR(INDEX(Logs!$D$2:$D$500,MATCH('Beneficiaries (8)'!$B25,Logs!$A$2:$A$500,0)),"")</f>
        <v>9006056403080</v>
      </c>
      <c r="F25" s="73" t="s">
        <v>761</v>
      </c>
      <c r="G25" s="101" t="str">
        <f t="shared" si="0"/>
        <v>M</v>
      </c>
      <c r="H25" s="72" t="s">
        <v>761</v>
      </c>
      <c r="I25" s="72" t="s">
        <v>762</v>
      </c>
      <c r="J25" s="111" t="str">
        <f>IFERROR(INDEX(Logs!$E$2:$E$500,MATCH('Beneficiaries (8)'!$B25,Logs!$A$2:$A$500,0)),"")</f>
        <v>01/02/2023</v>
      </c>
      <c r="K25" s="111" t="str">
        <f>IFERROR(INDEX(Logs!$F$2:$F$500,MATCH('Beneficiaries (8)'!$B25,Logs!$A$2:$A$500,0)),"")</f>
        <v>31/01/2024</v>
      </c>
      <c r="L25" s="111">
        <f>IFERROR(INDEX(Logs!$G$2:$G$500,MATCH('Beneficiaries (8)'!$B25,Logs!$A$2:$A$500,0)),0)</f>
        <v>22</v>
      </c>
      <c r="M25" s="72">
        <v>0</v>
      </c>
      <c r="N25" s="101">
        <f t="shared" si="3"/>
        <v>22</v>
      </c>
      <c r="O25" s="102">
        <f>IFERROR(INDEX(Logs!$H$2:$H$500,MATCH('Beneficiaries (8)'!$B25,Logs!$A$2:$A$500,0)),)</f>
        <v>204.16</v>
      </c>
      <c r="P25" s="103">
        <f t="shared" si="2"/>
        <v>4491.5199999999995</v>
      </c>
      <c r="Q25" s="95"/>
    </row>
    <row r="26" spans="1:18" x14ac:dyDescent="0.2">
      <c r="A26" s="100" t="str">
        <f t="shared" si="1"/>
        <v/>
      </c>
      <c r="B26" s="72">
        <v>157</v>
      </c>
      <c r="C26" s="110" t="str">
        <f>IFERROR(INDEX(Logs!$B$2:$B$500,MATCH('Beneficiaries (8)'!$B26,Logs!$A$2:$A$500,0)),"")</f>
        <v>Miliswa</v>
      </c>
      <c r="D26" s="107" t="str">
        <f>IFERROR(INDEX(Logs!$C$2:$C$500,MATCH('Beneficiaries (8)'!$B26,Logs!$A$2:$A$500,0)),"")</f>
        <v>Thelejane</v>
      </c>
      <c r="E26" s="108" t="str">
        <f>IFERROR(INDEX(Logs!$D$2:$D$500,MATCH('Beneficiaries (8)'!$B26,Logs!$A$2:$A$500,0)),"")</f>
        <v>7211110813082</v>
      </c>
      <c r="F26" s="73" t="s">
        <v>761</v>
      </c>
      <c r="G26" s="101" t="str">
        <f t="shared" si="0"/>
        <v>F</v>
      </c>
      <c r="H26" s="72" t="s">
        <v>761</v>
      </c>
      <c r="I26" s="72" t="s">
        <v>762</v>
      </c>
      <c r="J26" s="111" t="str">
        <f>IFERROR(INDEX(Logs!$E$2:$E$500,MATCH('Beneficiaries (8)'!$B26,Logs!$A$2:$A$500,0)),"")</f>
        <v>01/02/2023</v>
      </c>
      <c r="K26" s="111" t="str">
        <f>IFERROR(INDEX(Logs!$F$2:$F$500,MATCH('Beneficiaries (8)'!$B26,Logs!$A$2:$A$500,0)),"")</f>
        <v>31/01/2024</v>
      </c>
      <c r="L26" s="111">
        <f>IFERROR(INDEX(Logs!$G$2:$G$500,MATCH('Beneficiaries (8)'!$B26,Logs!$A$2:$A$500,0)),0)</f>
        <v>22</v>
      </c>
      <c r="M26" s="72">
        <v>0</v>
      </c>
      <c r="N26" s="101">
        <f t="shared" si="3"/>
        <v>22</v>
      </c>
      <c r="O26" s="102">
        <f>IFERROR(INDEX(Logs!$H$2:$H$500,MATCH('Beneficiaries (8)'!$B26,Logs!$A$2:$A$500,0)),)</f>
        <v>204.16</v>
      </c>
      <c r="P26" s="103">
        <f t="shared" si="2"/>
        <v>4491.5199999999995</v>
      </c>
      <c r="Q26" s="95"/>
    </row>
    <row r="27" spans="1:18" x14ac:dyDescent="0.2">
      <c r="A27" s="100" t="str">
        <f t="shared" si="1"/>
        <v/>
      </c>
      <c r="B27" s="72">
        <v>158</v>
      </c>
      <c r="C27" s="110" t="str">
        <f>IFERROR(INDEX(Logs!$B$2:$B$500,MATCH('Beneficiaries (8)'!$B27,Logs!$A$2:$A$500,0)),"")</f>
        <v>Nolusindiso</v>
      </c>
      <c r="D27" s="107" t="str">
        <f>IFERROR(INDEX(Logs!$C$2:$C$500,MATCH('Beneficiaries (8)'!$B27,Logs!$A$2:$A$500,0)),"")</f>
        <v>Sokuyeka</v>
      </c>
      <c r="E27" s="108" t="str">
        <f>IFERROR(INDEX(Logs!$D$2:$D$500,MATCH('Beneficiaries (8)'!$B27,Logs!$A$2:$A$500,0)),"")</f>
        <v>7711160304080</v>
      </c>
      <c r="F27" s="73" t="s">
        <v>761</v>
      </c>
      <c r="G27" s="101" t="str">
        <f t="shared" si="0"/>
        <v>F</v>
      </c>
      <c r="H27" s="72" t="s">
        <v>761</v>
      </c>
      <c r="I27" s="72" t="s">
        <v>762</v>
      </c>
      <c r="J27" s="111" t="str">
        <f>IFERROR(INDEX(Logs!$E$2:$E$500,MATCH('Beneficiaries (8)'!$B27,Logs!$A$2:$A$500,0)),"")</f>
        <v>03/02/2023</v>
      </c>
      <c r="K27" s="111" t="str">
        <f>IFERROR(INDEX(Logs!$F$2:$F$500,MATCH('Beneficiaries (8)'!$B27,Logs!$A$2:$A$500,0)),"")</f>
        <v>28/02/2024</v>
      </c>
      <c r="L27" s="111">
        <f>IFERROR(INDEX(Logs!$G$2:$G$500,MATCH('Beneficiaries (8)'!$B27,Logs!$A$2:$A$500,0)),0)</f>
        <v>22</v>
      </c>
      <c r="M27" s="72">
        <v>0</v>
      </c>
      <c r="N27" s="101">
        <f t="shared" si="3"/>
        <v>22</v>
      </c>
      <c r="O27" s="102">
        <f>IFERROR(INDEX(Logs!$H$2:$H$500,MATCH('Beneficiaries (8)'!$B27,Logs!$A$2:$A$500,0)),)</f>
        <v>204.16</v>
      </c>
      <c r="P27" s="103">
        <f t="shared" si="2"/>
        <v>4491.5199999999995</v>
      </c>
      <c r="Q27" s="95"/>
    </row>
    <row r="28" spans="1:18" x14ac:dyDescent="0.2">
      <c r="A28" s="100" t="str">
        <f t="shared" si="1"/>
        <v/>
      </c>
      <c r="B28" s="72">
        <v>159</v>
      </c>
      <c r="C28" s="110" t="str">
        <f>IFERROR(INDEX(Logs!$B$2:$B$500,MATCH('Beneficiaries (8)'!$B28,Logs!$A$2:$A$500,0)),"")</f>
        <v>Boniswa</v>
      </c>
      <c r="D28" s="107" t="str">
        <f>IFERROR(INDEX(Logs!$C$2:$C$500,MATCH('Beneficiaries (8)'!$B28,Logs!$A$2:$A$500,0)),"")</f>
        <v>Roto</v>
      </c>
      <c r="E28" s="108" t="str">
        <f>IFERROR(INDEX(Logs!$D$2:$D$500,MATCH('Beneficiaries (8)'!$B28,Logs!$A$2:$A$500,0)),"")</f>
        <v>6812120846086</v>
      </c>
      <c r="F28" s="73" t="s">
        <v>761</v>
      </c>
      <c r="G28" s="101" t="str">
        <f t="shared" si="0"/>
        <v>F</v>
      </c>
      <c r="H28" s="72" t="s">
        <v>761</v>
      </c>
      <c r="I28" s="72" t="s">
        <v>762</v>
      </c>
      <c r="J28" s="111" t="str">
        <f>IFERROR(INDEX(Logs!$E$2:$E$500,MATCH('Beneficiaries (8)'!$B28,Logs!$A$2:$A$500,0)),"")</f>
        <v>03/02/2023</v>
      </c>
      <c r="K28" s="111" t="str">
        <f>IFERROR(INDEX(Logs!$F$2:$F$500,MATCH('Beneficiaries (8)'!$B28,Logs!$A$2:$A$500,0)),"")</f>
        <v>28/02/2024</v>
      </c>
      <c r="L28" s="111">
        <f>IFERROR(INDEX(Logs!$G$2:$G$500,MATCH('Beneficiaries (8)'!$B28,Logs!$A$2:$A$500,0)),0)</f>
        <v>22</v>
      </c>
      <c r="M28" s="72">
        <v>0</v>
      </c>
      <c r="N28" s="101">
        <f t="shared" si="3"/>
        <v>22</v>
      </c>
      <c r="O28" s="102">
        <f>IFERROR(INDEX(Logs!$H$2:$H$500,MATCH('Beneficiaries (8)'!$B28,Logs!$A$2:$A$500,0)),)</f>
        <v>204.16</v>
      </c>
      <c r="P28" s="103">
        <f t="shared" si="2"/>
        <v>4491.5199999999995</v>
      </c>
      <c r="Q28" s="95"/>
    </row>
    <row r="29" spans="1:18" x14ac:dyDescent="0.2">
      <c r="A29" s="100" t="str">
        <f t="shared" si="1"/>
        <v/>
      </c>
      <c r="B29" s="72">
        <v>160</v>
      </c>
      <c r="C29" s="110" t="str">
        <f>IFERROR(INDEX(Logs!$B$2:$B$500,MATCH('Beneficiaries (8)'!$B29,Logs!$A$2:$A$500,0)),"")</f>
        <v>Aphiwe</v>
      </c>
      <c r="D29" s="110" t="str">
        <f>IFERROR(INDEX(Logs!$C$2:$C$500,MATCH('Beneficiaries (8)'!$B29,Logs!$A$2:$A$500,0)),"")</f>
        <v>Kaya</v>
      </c>
      <c r="E29" s="108" t="str">
        <f>IFERROR(INDEX(Logs!$D$2:$D$500,MATCH('Beneficiaries (8)'!$B29,Logs!$A$2:$A$500,0)),"")</f>
        <v>8710180437085</v>
      </c>
      <c r="F29" s="73" t="s">
        <v>761</v>
      </c>
      <c r="G29" s="101" t="str">
        <f t="shared" si="0"/>
        <v>F</v>
      </c>
      <c r="H29" s="72" t="s">
        <v>761</v>
      </c>
      <c r="I29" s="72" t="s">
        <v>762</v>
      </c>
      <c r="J29" s="111" t="str">
        <f>IFERROR(INDEX(Logs!$E$2:$E$500,MATCH('Beneficiaries (8)'!$B29,Logs!$A$2:$A$500,0)),"")</f>
        <v>03/02/2023</v>
      </c>
      <c r="K29" s="111" t="str">
        <f>IFERROR(INDEX(Logs!$F$2:$F$500,MATCH('Beneficiaries (8)'!$B29,Logs!$A$2:$A$500,0)),"")</f>
        <v>28/02/2024</v>
      </c>
      <c r="L29" s="111">
        <f>IFERROR(INDEX(Logs!$G$2:$G$500,MATCH('Beneficiaries (8)'!$B29,Logs!$A$2:$A$500,0)),0)</f>
        <v>22</v>
      </c>
      <c r="M29" s="72">
        <v>0</v>
      </c>
      <c r="N29" s="101">
        <f t="shared" si="3"/>
        <v>22</v>
      </c>
      <c r="O29" s="102">
        <f>IFERROR(INDEX(Logs!$H$2:$H$500,MATCH('Beneficiaries (8)'!$B29,Logs!$A$2:$A$500,0)),)</f>
        <v>204.16</v>
      </c>
      <c r="P29" s="103">
        <f t="shared" si="2"/>
        <v>4491.5199999999995</v>
      </c>
      <c r="Q29" s="95"/>
    </row>
    <row r="30" spans="1:18" x14ac:dyDescent="0.2"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104">
        <f>SUM(L10:L29)</f>
        <v>439</v>
      </c>
      <c r="M30" s="104">
        <f>SUM(M10:M29)</f>
        <v>0</v>
      </c>
      <c r="N30" s="104">
        <f>SUM(N10:N29)</f>
        <v>439</v>
      </c>
      <c r="O30" s="105">
        <f>SUM(O10:O29)</f>
        <v>4083.1999999999989</v>
      </c>
      <c r="P30" s="106">
        <f>SUM(P10:P29)</f>
        <v>89626.240000000005</v>
      </c>
      <c r="Q30" s="97"/>
    </row>
    <row r="31" spans="1:18" ht="27" customHeight="1" x14ac:dyDescent="0.2">
      <c r="B31" s="217" t="s">
        <v>98</v>
      </c>
      <c r="C31" s="217"/>
      <c r="D31" s="98" t="s">
        <v>97</v>
      </c>
      <c r="E31" s="218" t="str">
        <f>Project!$G$30</f>
        <v>Benjamin Milandou-Loubeka</v>
      </c>
      <c r="F31" s="218"/>
      <c r="G31" s="218"/>
      <c r="H31" s="219" t="s">
        <v>101</v>
      </c>
      <c r="I31" s="220"/>
      <c r="J31" s="220"/>
      <c r="K31" s="220"/>
      <c r="L31" s="220"/>
      <c r="M31" s="220"/>
      <c r="N31" s="220"/>
      <c r="O31" s="220"/>
      <c r="P31" s="220"/>
      <c r="Q31" s="87"/>
    </row>
    <row r="32" spans="1:18" ht="27" customHeight="1" x14ac:dyDescent="0.2">
      <c r="B32" s="217"/>
      <c r="C32" s="217"/>
      <c r="D32" s="98" t="s">
        <v>100</v>
      </c>
      <c r="E32" s="221">
        <f>Project!$AN$1</f>
        <v>45199</v>
      </c>
      <c r="F32" s="221"/>
      <c r="G32" s="221"/>
      <c r="H32" s="219"/>
      <c r="I32" s="220"/>
      <c r="J32" s="220"/>
      <c r="K32" s="220"/>
      <c r="L32" s="220"/>
      <c r="M32" s="220"/>
      <c r="N32" s="220"/>
      <c r="O32" s="220"/>
      <c r="P32" s="220"/>
      <c r="Q32" s="87"/>
    </row>
    <row r="33" spans="2:17" ht="14.25" customHeight="1" x14ac:dyDescent="0.2">
      <c r="B33" s="88"/>
      <c r="C33" s="88"/>
      <c r="D33" s="99"/>
      <c r="E33" s="87"/>
      <c r="F33" s="87"/>
      <c r="G33" s="87"/>
      <c r="H33" s="81"/>
      <c r="I33" s="87"/>
      <c r="J33" s="87"/>
      <c r="K33" s="87"/>
      <c r="L33" s="87"/>
      <c r="M33" s="87"/>
      <c r="N33" s="87"/>
      <c r="O33" s="87"/>
      <c r="P33" s="87"/>
      <c r="Q33" s="87"/>
    </row>
    <row r="34" spans="2:17" ht="27" customHeight="1" x14ac:dyDescent="0.2">
      <c r="B34" s="217" t="s">
        <v>99</v>
      </c>
      <c r="C34" s="217"/>
      <c r="D34" s="98" t="s">
        <v>97</v>
      </c>
      <c r="E34" s="220"/>
      <c r="F34" s="220"/>
      <c r="G34" s="220"/>
      <c r="H34" s="219" t="s">
        <v>101</v>
      </c>
      <c r="I34" s="220"/>
      <c r="J34" s="220"/>
      <c r="K34" s="220"/>
      <c r="L34" s="220"/>
      <c r="M34" s="220"/>
      <c r="N34" s="220"/>
      <c r="O34" s="220"/>
      <c r="P34" s="220"/>
      <c r="Q34" s="87"/>
    </row>
    <row r="35" spans="2:17" ht="27" customHeight="1" x14ac:dyDescent="0.2">
      <c r="B35" s="217"/>
      <c r="C35" s="217"/>
      <c r="D35" s="98" t="s">
        <v>100</v>
      </c>
      <c r="E35" s="220"/>
      <c r="F35" s="220"/>
      <c r="G35" s="220"/>
      <c r="H35" s="219"/>
      <c r="I35" s="220"/>
      <c r="J35" s="220"/>
      <c r="K35" s="220"/>
      <c r="L35" s="220"/>
      <c r="M35" s="220"/>
      <c r="N35" s="220"/>
      <c r="O35" s="220"/>
      <c r="P35" s="220"/>
      <c r="Q35" s="87"/>
    </row>
    <row r="74" spans="2:2" x14ac:dyDescent="0.2">
      <c r="B74" s="87"/>
    </row>
  </sheetData>
  <sheetProtection algorithmName="SHA-512" hashValue="KmS9iKYm91twPh5qpCdKu+NyGKaVg+luODFVXT61v9Vnebb+7nnlbIDxg7nN1iH7NrCKdPeJsu8TMnASPGqSjQ==" saltValue="ZSMnYvvvovVJ4NdX2gG+LQ==" spinCount="100000" sheet="1" selectLockedCells="1"/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conditionalFormatting sqref="C10:C21">
    <cfRule type="uniqueValues" dxfId="71" priority="9"/>
  </conditionalFormatting>
  <conditionalFormatting sqref="D10:D20">
    <cfRule type="uniqueValues" dxfId="70" priority="8"/>
  </conditionalFormatting>
  <conditionalFormatting sqref="D21:D28">
    <cfRule type="uniqueValues" dxfId="69" priority="7"/>
  </conditionalFormatting>
  <conditionalFormatting sqref="F10:F29">
    <cfRule type="expression" dxfId="68" priority="6">
      <formula>$C10=""</formula>
    </cfRule>
  </conditionalFormatting>
  <conditionalFormatting sqref="H10:I29">
    <cfRule type="expression" dxfId="67" priority="5">
      <formula>$C10=""</formula>
    </cfRule>
  </conditionalFormatting>
  <conditionalFormatting sqref="B10:B29">
    <cfRule type="expression" dxfId="66" priority="4">
      <formula>$C10=""</formula>
    </cfRule>
  </conditionalFormatting>
  <conditionalFormatting sqref="L10:L29">
    <cfRule type="cellIs" dxfId="65" priority="3" operator="equal">
      <formula>0</formula>
    </cfRule>
  </conditionalFormatting>
  <conditionalFormatting sqref="M10:N29">
    <cfRule type="expression" dxfId="64" priority="2">
      <formula>$C10=""</formula>
    </cfRule>
  </conditionalFormatting>
  <conditionalFormatting sqref="O10:P29">
    <cfRule type="expression" dxfId="63" priority="1">
      <formula>$C10=""</formula>
    </cfRule>
  </conditionalFormatting>
  <dataValidations count="1">
    <dataValidation allowBlank="1" showInputMessage="1" showErrorMessage="1" promptTitle="Month" sqref="I6" xr:uid="{A9FE3C64-A39E-4B75-9220-F28795721D3C}"/>
  </dataValidations>
  <pageMargins left="0.23622047244094491" right="0.23622047244094491" top="0.74803149606299213" bottom="0.74803149606299213" header="0.31496062992125984" footer="0.31496062992125984"/>
  <pageSetup paperSize="9" scale="86"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0747B-386B-4B8F-A95E-0828A43E8E36}">
  <sheetPr codeName="Sheet23">
    <pageSetUpPr fitToPage="1"/>
  </sheetPr>
  <dimension ref="A1:R74"/>
  <sheetViews>
    <sheetView showGridLines="0" zoomScaleNormal="100" workbookViewId="0">
      <selection activeCell="B5" sqref="B5:C6"/>
    </sheetView>
  </sheetViews>
  <sheetFormatPr defaultColWidth="8.85546875" defaultRowHeight="12.75" x14ac:dyDescent="0.2"/>
  <cols>
    <col min="1" max="1" width="20.7109375" style="76" customWidth="1"/>
    <col min="2" max="2" width="4.42578125" style="80" customWidth="1"/>
    <col min="3" max="5" width="24.42578125" style="80" customWidth="1"/>
    <col min="6" max="6" width="10.140625" style="80" customWidth="1"/>
    <col min="7" max="9" width="8.85546875" style="80"/>
    <col min="10" max="11" width="10.140625" style="80" bestFit="1" customWidth="1"/>
    <col min="12" max="15" width="13.7109375" style="80" customWidth="1"/>
    <col min="16" max="17" width="14.5703125" style="80" customWidth="1"/>
    <col min="18" max="18" width="8.85546875" style="150"/>
    <col min="19" max="16384" width="8.85546875" style="80"/>
  </cols>
  <sheetData>
    <row r="1" spans="1:18" ht="15.75" x14ac:dyDescent="0.25">
      <c r="B1" s="77" t="s">
        <v>44</v>
      </c>
      <c r="C1" s="78"/>
      <c r="D1" s="78"/>
      <c r="E1" s="79" t="s">
        <v>1</v>
      </c>
      <c r="G1" s="78"/>
      <c r="H1" s="78"/>
      <c r="I1" s="78"/>
      <c r="R1" s="114">
        <f>IF(Beneficiaries!$P$30&gt;0,1,"")</f>
        <v>1</v>
      </c>
    </row>
    <row r="2" spans="1:18" ht="15.75" x14ac:dyDescent="0.25"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114">
        <f>IF('Beneficiaries (2)'!$P$30&gt;0,1,"")</f>
        <v>1</v>
      </c>
    </row>
    <row r="3" spans="1:18" x14ac:dyDescent="0.2">
      <c r="B3" s="210" t="s">
        <v>28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81"/>
      <c r="R3" s="114">
        <f>IF('Beneficiaries (3)'!$P$30&gt;0,1,"")</f>
        <v>1</v>
      </c>
    </row>
    <row r="4" spans="1:18" x14ac:dyDescent="0.2">
      <c r="C4" s="77"/>
      <c r="D4" s="77"/>
      <c r="E4" s="77"/>
      <c r="F4" s="77"/>
      <c r="G4" s="77"/>
      <c r="R4" s="114">
        <f>IF('Beneficiaries (4)'!$P$30&gt;0,1,"")</f>
        <v>1</v>
      </c>
    </row>
    <row r="5" spans="1:18" ht="12.75" customHeight="1" x14ac:dyDescent="0.2">
      <c r="B5" s="211" t="s">
        <v>12</v>
      </c>
      <c r="C5" s="212"/>
      <c r="D5" s="215" t="str">
        <f>Project!$Z$25</f>
        <v>WSDS/24/111i</v>
      </c>
      <c r="E5" s="215"/>
      <c r="F5" s="82"/>
      <c r="H5" s="83" t="s">
        <v>80</v>
      </c>
      <c r="I5" s="83" t="s">
        <v>81</v>
      </c>
      <c r="J5" s="77"/>
      <c r="K5" s="216" t="s">
        <v>78</v>
      </c>
      <c r="L5" s="216"/>
      <c r="M5" s="216"/>
      <c r="N5" s="85"/>
      <c r="O5" s="85"/>
      <c r="P5" s="77"/>
      <c r="Q5" s="77"/>
      <c r="R5" s="114">
        <f>IF('Beneficiaries (5)'!$P$30&gt;0,1,"")</f>
        <v>1</v>
      </c>
    </row>
    <row r="6" spans="1:18" x14ac:dyDescent="0.2">
      <c r="B6" s="213"/>
      <c r="C6" s="214"/>
      <c r="D6" s="215"/>
      <c r="E6" s="215"/>
      <c r="F6" s="82"/>
      <c r="H6" s="112" t="str">
        <f>TEXT(Project!$AN$1,"YYYY")</f>
        <v>2023</v>
      </c>
      <c r="I6" s="112" t="str">
        <f>TEXT(Project!$AN$1,"MMMM")</f>
        <v>September</v>
      </c>
      <c r="J6" s="86"/>
      <c r="K6" s="57">
        <v>1</v>
      </c>
      <c r="L6" s="84" t="s">
        <v>79</v>
      </c>
      <c r="M6" s="113">
        <f>IF(K6&gt;0,COUNT(R1:R20),"")</f>
        <v>14</v>
      </c>
      <c r="N6" s="85"/>
      <c r="O6" s="85"/>
      <c r="P6" s="87"/>
      <c r="Q6" s="87"/>
      <c r="R6" s="114">
        <f>IF('Beneficiaries (6)'!$P$30&gt;0,1,"")</f>
        <v>1</v>
      </c>
    </row>
    <row r="7" spans="1:18" x14ac:dyDescent="0.2">
      <c r="B7" s="88"/>
      <c r="C7" s="88"/>
      <c r="D7" s="88"/>
      <c r="E7" s="87"/>
      <c r="F7" s="87"/>
      <c r="H7" s="86"/>
      <c r="I7" s="86"/>
      <c r="J7" s="86"/>
      <c r="K7" s="87"/>
      <c r="L7" s="85"/>
      <c r="M7" s="85"/>
      <c r="N7" s="85"/>
      <c r="O7" s="85"/>
      <c r="P7" s="87"/>
      <c r="Q7" s="87"/>
      <c r="R7" s="114">
        <f>IF('Beneficiaries (7)'!$P$30&gt;0,1,"")</f>
        <v>1</v>
      </c>
    </row>
    <row r="8" spans="1:18" x14ac:dyDescent="0.2">
      <c r="B8" s="89"/>
      <c r="C8" s="90" t="s">
        <v>34</v>
      </c>
      <c r="D8" s="90" t="s">
        <v>34</v>
      </c>
      <c r="E8" s="90" t="s">
        <v>34</v>
      </c>
      <c r="F8" s="90" t="s">
        <v>35</v>
      </c>
      <c r="G8" s="89"/>
      <c r="H8" s="89"/>
      <c r="I8" s="90" t="s">
        <v>36</v>
      </c>
      <c r="J8" s="89"/>
      <c r="K8" s="90" t="s">
        <v>37</v>
      </c>
      <c r="L8" s="90" t="s">
        <v>38</v>
      </c>
      <c r="M8" s="90" t="s">
        <v>42</v>
      </c>
      <c r="N8" s="90"/>
      <c r="O8" s="90" t="s">
        <v>104</v>
      </c>
      <c r="P8" s="90"/>
      <c r="Q8" s="91"/>
      <c r="R8" s="114">
        <f>IF('Beneficiaries (8)'!$P$30&gt;0,1,"")</f>
        <v>1</v>
      </c>
    </row>
    <row r="9" spans="1:18" ht="45" x14ac:dyDescent="0.2">
      <c r="B9" s="92" t="s">
        <v>29</v>
      </c>
      <c r="C9" s="92" t="s">
        <v>30</v>
      </c>
      <c r="D9" s="92" t="s">
        <v>31</v>
      </c>
      <c r="E9" s="92" t="s">
        <v>32</v>
      </c>
      <c r="F9" s="93" t="s">
        <v>96</v>
      </c>
      <c r="G9" s="93" t="s">
        <v>33</v>
      </c>
      <c r="H9" s="93" t="s">
        <v>76</v>
      </c>
      <c r="I9" s="93" t="s">
        <v>77</v>
      </c>
      <c r="J9" s="93" t="s">
        <v>95</v>
      </c>
      <c r="K9" s="93" t="s">
        <v>94</v>
      </c>
      <c r="L9" s="93" t="s">
        <v>41</v>
      </c>
      <c r="M9" s="93" t="s">
        <v>103</v>
      </c>
      <c r="N9" s="93" t="s">
        <v>116</v>
      </c>
      <c r="O9" s="93" t="s">
        <v>102</v>
      </c>
      <c r="P9" s="93" t="s">
        <v>117</v>
      </c>
      <c r="Q9" s="94"/>
      <c r="R9" s="114">
        <f>IF('Beneficiaries (9)'!$P$30&gt;0,1,"")</f>
        <v>1</v>
      </c>
    </row>
    <row r="10" spans="1:18" x14ac:dyDescent="0.2">
      <c r="A10" s="100" t="str">
        <f>ID_Valid(E10)</f>
        <v/>
      </c>
      <c r="B10" s="72">
        <v>161</v>
      </c>
      <c r="C10" s="107" t="str">
        <f>IFERROR(INDEX(Logs!$B$2:$B$500,MATCH('Beneficiaries (9)'!$B10,Logs!$A$2:$A$500,0)),"")</f>
        <v>Thandiwe</v>
      </c>
      <c r="D10" s="107" t="str">
        <f>IFERROR(INDEX(Logs!$C$2:$C$500,MATCH('Beneficiaries (9)'!$B10,Logs!$A$2:$A$500,0)),"")</f>
        <v>Mafani</v>
      </c>
      <c r="E10" s="108" t="str">
        <f>IFERROR(INDEX(Logs!$D$2:$D$500,MATCH('Beneficiaries (9)'!$B10,Logs!$A$2:$A$500,0)),"")</f>
        <v>8502080749085</v>
      </c>
      <c r="F10" s="73" t="s">
        <v>761</v>
      </c>
      <c r="G10" s="101" t="str">
        <f t="shared" ref="G10:G29" si="0">TheGender(E10)</f>
        <v>F</v>
      </c>
      <c r="H10" s="72" t="s">
        <v>761</v>
      </c>
      <c r="I10" s="74" t="s">
        <v>762</v>
      </c>
      <c r="J10" s="110" t="str">
        <f>IFERROR(INDEX(Logs!$E$2:$E$500,MATCH('Beneficiaries (9)'!$B10,Logs!$A$2:$A$500,0)),"")</f>
        <v/>
      </c>
      <c r="K10" s="110" t="str">
        <f>IFERROR(INDEX(Logs!$F$2:$F$500,MATCH('Beneficiaries (9)'!$B10,Logs!$A$2:$A$500,0)),"")</f>
        <v>28/02/2024</v>
      </c>
      <c r="L10" s="111">
        <f>IFERROR(INDEX(Logs!$G$2:$G$500,MATCH('Beneficiaries (9)'!$B10,Logs!$A$2:$A$500,0)),0)</f>
        <v>22</v>
      </c>
      <c r="M10" s="72">
        <v>0</v>
      </c>
      <c r="N10" s="101">
        <f>M10+L10</f>
        <v>22</v>
      </c>
      <c r="O10" s="102">
        <f>IFERROR(INDEX(Logs!$H$2:$H$500,MATCH('Beneficiaries (9)'!$B10,Logs!$A$2:$A$500,0)),)</f>
        <v>204.16</v>
      </c>
      <c r="P10" s="103">
        <f>IFERROR(N10*O10,0)</f>
        <v>4491.5199999999995</v>
      </c>
      <c r="Q10" s="95"/>
      <c r="R10" s="114">
        <f>IF('Beneficiaries (10)'!$P$30&gt;0,1,"")</f>
        <v>1</v>
      </c>
    </row>
    <row r="11" spans="1:18" x14ac:dyDescent="0.2">
      <c r="A11" s="100" t="str">
        <f t="shared" ref="A11:A29" si="1">ID_Valid(E11)</f>
        <v/>
      </c>
      <c r="B11" s="72">
        <v>162</v>
      </c>
      <c r="C11" s="107" t="str">
        <f>IFERROR(INDEX(Logs!$B$2:$B$500,MATCH('Beneficiaries (9)'!$B11,Logs!$A$2:$A$500,0)),"")</f>
        <v>Noxolo</v>
      </c>
      <c r="D11" s="107" t="str">
        <f>IFERROR(INDEX(Logs!$C$2:$C$500,MATCH('Beneficiaries (9)'!$B11,Logs!$A$2:$A$500,0)),"")</f>
        <v>Mtimkhulu</v>
      </c>
      <c r="E11" s="108" t="str">
        <f>IFERROR(INDEX(Logs!$D$2:$D$500,MATCH('Beneficiaries (9)'!$B11,Logs!$A$2:$A$500,0)),"")</f>
        <v>8507071646083</v>
      </c>
      <c r="F11" s="73" t="s">
        <v>761</v>
      </c>
      <c r="G11" s="101" t="str">
        <f t="shared" si="0"/>
        <v>F</v>
      </c>
      <c r="H11" s="72" t="s">
        <v>761</v>
      </c>
      <c r="I11" s="72" t="s">
        <v>762</v>
      </c>
      <c r="J11" s="111" t="str">
        <f>IFERROR(INDEX(Logs!$E$2:$E$500,MATCH('Beneficiaries (9)'!$B11,Logs!$A$2:$A$500,0)),"")</f>
        <v>03/02/2023</v>
      </c>
      <c r="K11" s="111" t="str">
        <f>IFERROR(INDEX(Logs!$F$2:$F$500,MATCH('Beneficiaries (9)'!$B11,Logs!$A$2:$A$500,0)),"")</f>
        <v>28/02/2024</v>
      </c>
      <c r="L11" s="111">
        <f>IFERROR(INDEX(Logs!$G$2:$G$500,MATCH('Beneficiaries (9)'!$B11,Logs!$A$2:$A$500,0)),0)</f>
        <v>22</v>
      </c>
      <c r="M11" s="72">
        <v>0</v>
      </c>
      <c r="N11" s="101">
        <f>L11+M11</f>
        <v>22</v>
      </c>
      <c r="O11" s="102">
        <f>IFERROR(INDEX(Logs!$H$2:$H$500,MATCH('Beneficiaries (9)'!$B11,Logs!$A$2:$A$500,0)),)</f>
        <v>204.16</v>
      </c>
      <c r="P11" s="103">
        <f t="shared" ref="P11:P29" si="2">IFERROR(N11*O11,0)</f>
        <v>4491.5199999999995</v>
      </c>
      <c r="Q11" s="95"/>
      <c r="R11" s="114">
        <f>IF('Beneficiaries (11)'!$P$30&gt;0,1,"")</f>
        <v>1</v>
      </c>
    </row>
    <row r="12" spans="1:18" x14ac:dyDescent="0.2">
      <c r="A12" s="100" t="str">
        <f t="shared" si="1"/>
        <v/>
      </c>
      <c r="B12" s="72">
        <v>163</v>
      </c>
      <c r="C12" s="107" t="str">
        <f>IFERROR(INDEX(Logs!$B$2:$B$500,MATCH('Beneficiaries (9)'!$B12,Logs!$A$2:$A$500,0)),"")</f>
        <v>Nomonde</v>
      </c>
      <c r="D12" s="107" t="str">
        <f>IFERROR(INDEX(Logs!$C$2:$C$500,MATCH('Beneficiaries (9)'!$B12,Logs!$A$2:$A$500,0)),"")</f>
        <v>Mngcoko</v>
      </c>
      <c r="E12" s="108" t="str">
        <f>IFERROR(INDEX(Logs!$D$2:$D$500,MATCH('Beneficiaries (9)'!$B12,Logs!$A$2:$A$500,0)),"")</f>
        <v>7604230632087</v>
      </c>
      <c r="F12" s="73" t="s">
        <v>761</v>
      </c>
      <c r="G12" s="101" t="str">
        <f t="shared" si="0"/>
        <v>F</v>
      </c>
      <c r="H12" s="72" t="s">
        <v>761</v>
      </c>
      <c r="I12" s="72" t="s">
        <v>762</v>
      </c>
      <c r="J12" s="111" t="str">
        <f>IFERROR(INDEX(Logs!$E$2:$E$500,MATCH('Beneficiaries (9)'!$B12,Logs!$A$2:$A$500,0)),"")</f>
        <v>03/02/2023</v>
      </c>
      <c r="K12" s="111" t="str">
        <f>IFERROR(INDEX(Logs!$F$2:$F$500,MATCH('Beneficiaries (9)'!$B12,Logs!$A$2:$A$500,0)),"")</f>
        <v>28/02/2024</v>
      </c>
      <c r="L12" s="111">
        <f>IFERROR(INDEX(Logs!$G$2:$G$500,MATCH('Beneficiaries (9)'!$B12,Logs!$A$2:$A$500,0)),0)</f>
        <v>22</v>
      </c>
      <c r="M12" s="72">
        <v>0</v>
      </c>
      <c r="N12" s="101">
        <f t="shared" ref="N12:N29" si="3">L12+M12</f>
        <v>22</v>
      </c>
      <c r="O12" s="102">
        <f>IFERROR(INDEX(Logs!$H$2:$H$500,MATCH('Beneficiaries (9)'!$B12,Logs!$A$2:$A$500,0)),)</f>
        <v>204.16</v>
      </c>
      <c r="P12" s="103">
        <f t="shared" si="2"/>
        <v>4491.5199999999995</v>
      </c>
      <c r="Q12" s="95"/>
      <c r="R12" s="114">
        <f>IF('Beneficiaries (12)'!$P$30&gt;0,1,"")</f>
        <v>1</v>
      </c>
    </row>
    <row r="13" spans="1:18" x14ac:dyDescent="0.2">
      <c r="A13" s="100" t="str">
        <f t="shared" si="1"/>
        <v/>
      </c>
      <c r="B13" s="72">
        <v>164</v>
      </c>
      <c r="C13" s="107" t="str">
        <f>IFERROR(INDEX(Logs!$B$2:$B$500,MATCH('Beneficiaries (9)'!$B13,Logs!$A$2:$A$500,0)),"")</f>
        <v>Feziwe</v>
      </c>
      <c r="D13" s="107" t="str">
        <f>IFERROR(INDEX(Logs!$C$2:$C$500,MATCH('Beneficiaries (9)'!$B13,Logs!$A$2:$A$500,0)),"")</f>
        <v>Makhanda</v>
      </c>
      <c r="E13" s="108" t="str">
        <f>IFERROR(INDEX(Logs!$D$2:$D$500,MATCH('Beneficiaries (9)'!$B13,Logs!$A$2:$A$500,0)),"")</f>
        <v>9302091069089</v>
      </c>
      <c r="F13" s="73" t="s">
        <v>761</v>
      </c>
      <c r="G13" s="101" t="str">
        <f t="shared" si="0"/>
        <v>F</v>
      </c>
      <c r="H13" s="72" t="s">
        <v>761</v>
      </c>
      <c r="I13" s="72" t="s">
        <v>762</v>
      </c>
      <c r="J13" s="111" t="str">
        <f>IFERROR(INDEX(Logs!$E$2:$E$500,MATCH('Beneficiaries (9)'!$B13,Logs!$A$2:$A$500,0)),"")</f>
        <v>06/02/2023</v>
      </c>
      <c r="K13" s="111" t="str">
        <f>IFERROR(INDEX(Logs!$F$2:$F$500,MATCH('Beneficiaries (9)'!$B13,Logs!$A$2:$A$500,0)),"")</f>
        <v>28/02/2024</v>
      </c>
      <c r="L13" s="111">
        <f>IFERROR(INDEX(Logs!$G$2:$G$500,MATCH('Beneficiaries (9)'!$B13,Logs!$A$2:$A$500,0)),0)</f>
        <v>22</v>
      </c>
      <c r="M13" s="72">
        <v>0</v>
      </c>
      <c r="N13" s="101">
        <f t="shared" si="3"/>
        <v>22</v>
      </c>
      <c r="O13" s="102">
        <f>IFERROR(INDEX(Logs!$H$2:$H$500,MATCH('Beneficiaries (9)'!$B13,Logs!$A$2:$A$500,0)),)</f>
        <v>204.16</v>
      </c>
      <c r="P13" s="103">
        <f t="shared" si="2"/>
        <v>4491.5199999999995</v>
      </c>
      <c r="Q13" s="95"/>
      <c r="R13" s="114">
        <f>IF('Beneficiaries (13)'!$P$30&gt;0,1,"")</f>
        <v>1</v>
      </c>
    </row>
    <row r="14" spans="1:18" x14ac:dyDescent="0.2">
      <c r="A14" s="100" t="str">
        <f t="shared" si="1"/>
        <v/>
      </c>
      <c r="B14" s="72">
        <v>165</v>
      </c>
      <c r="C14" s="107" t="str">
        <f>IFERROR(INDEX(Logs!$B$2:$B$500,MATCH('Beneficiaries (9)'!$B14,Logs!$A$2:$A$500,0)),"")</f>
        <v>Sibabalwe</v>
      </c>
      <c r="D14" s="107" t="str">
        <f>IFERROR(INDEX(Logs!$C$2:$C$500,MATCH('Beneficiaries (9)'!$B14,Logs!$A$2:$A$500,0)),"")</f>
        <v>Philiso</v>
      </c>
      <c r="E14" s="108" t="str">
        <f>IFERROR(INDEX(Logs!$D$2:$D$500,MATCH('Beneficiaries (9)'!$B14,Logs!$A$2:$A$500,0)),"")</f>
        <v>9609180851080</v>
      </c>
      <c r="F14" s="73" t="s">
        <v>761</v>
      </c>
      <c r="G14" s="101" t="str">
        <f t="shared" si="0"/>
        <v>F</v>
      </c>
      <c r="H14" s="72" t="s">
        <v>761</v>
      </c>
      <c r="I14" s="72" t="s">
        <v>762</v>
      </c>
      <c r="J14" s="111" t="str">
        <f>IFERROR(INDEX(Logs!$E$2:$E$500,MATCH('Beneficiaries (9)'!$B14,Logs!$A$2:$A$500,0)),"")</f>
        <v>06/02/2023</v>
      </c>
      <c r="K14" s="111" t="str">
        <f>IFERROR(INDEX(Logs!$F$2:$F$500,MATCH('Beneficiaries (9)'!$B14,Logs!$A$2:$A$500,0)),"")</f>
        <v>28/02/2024</v>
      </c>
      <c r="L14" s="111">
        <f>IFERROR(INDEX(Logs!$G$2:$G$500,MATCH('Beneficiaries (9)'!$B14,Logs!$A$2:$A$500,0)),0)</f>
        <v>22</v>
      </c>
      <c r="M14" s="72">
        <v>0</v>
      </c>
      <c r="N14" s="101">
        <f t="shared" si="3"/>
        <v>22</v>
      </c>
      <c r="O14" s="102">
        <f>IFERROR(INDEX(Logs!$H$2:$H$500,MATCH('Beneficiaries (9)'!$B14,Logs!$A$2:$A$500,0)),)</f>
        <v>204.16</v>
      </c>
      <c r="P14" s="103">
        <f t="shared" si="2"/>
        <v>4491.5199999999995</v>
      </c>
      <c r="Q14" s="95"/>
      <c r="R14" s="114">
        <f>IF('Beneficiaries (14)'!$P$30&gt;0,1,"")</f>
        <v>1</v>
      </c>
    </row>
    <row r="15" spans="1:18" x14ac:dyDescent="0.2">
      <c r="A15" s="100" t="str">
        <f t="shared" si="1"/>
        <v/>
      </c>
      <c r="B15" s="72">
        <v>166</v>
      </c>
      <c r="C15" s="107" t="str">
        <f>IFERROR(INDEX(Logs!$B$2:$B$500,MATCH('Beneficiaries (9)'!$B15,Logs!$A$2:$A$500,0)),"")</f>
        <v>Zintle</v>
      </c>
      <c r="D15" s="107" t="str">
        <f>IFERROR(INDEX(Logs!$C$2:$C$500,MATCH('Beneficiaries (9)'!$B15,Logs!$A$2:$A$500,0)),"")</f>
        <v>Layini</v>
      </c>
      <c r="E15" s="108" t="str">
        <f>IFERROR(INDEX(Logs!$D$2:$D$500,MATCH('Beneficiaries (9)'!$B15,Logs!$A$2:$A$500,0)),"")</f>
        <v>9703271183089</v>
      </c>
      <c r="F15" s="73" t="s">
        <v>761</v>
      </c>
      <c r="G15" s="101" t="str">
        <f t="shared" si="0"/>
        <v>F</v>
      </c>
      <c r="H15" s="72" t="s">
        <v>761</v>
      </c>
      <c r="I15" s="72" t="s">
        <v>762</v>
      </c>
      <c r="J15" s="111" t="str">
        <f>IFERROR(INDEX(Logs!$E$2:$E$500,MATCH('Beneficiaries (9)'!$B15,Logs!$A$2:$A$500,0)),"")</f>
        <v>06/02/2023</v>
      </c>
      <c r="K15" s="111" t="str">
        <f>IFERROR(INDEX(Logs!$F$2:$F$500,MATCH('Beneficiaries (9)'!$B15,Logs!$A$2:$A$500,0)),"")</f>
        <v>28/02/2024</v>
      </c>
      <c r="L15" s="111">
        <f>IFERROR(INDEX(Logs!$G$2:$G$500,MATCH('Beneficiaries (9)'!$B15,Logs!$A$2:$A$500,0)),0)</f>
        <v>22</v>
      </c>
      <c r="M15" s="72">
        <v>0</v>
      </c>
      <c r="N15" s="101">
        <f t="shared" si="3"/>
        <v>22</v>
      </c>
      <c r="O15" s="102">
        <f>IFERROR(INDEX(Logs!$H$2:$H$500,MATCH('Beneficiaries (9)'!$B15,Logs!$A$2:$A$500,0)),)</f>
        <v>204.16</v>
      </c>
      <c r="P15" s="103">
        <f t="shared" si="2"/>
        <v>4491.5199999999995</v>
      </c>
      <c r="Q15" s="95"/>
      <c r="R15" s="115"/>
    </row>
    <row r="16" spans="1:18" x14ac:dyDescent="0.2">
      <c r="A16" s="100" t="str">
        <f t="shared" si="1"/>
        <v/>
      </c>
      <c r="B16" s="72">
        <v>167</v>
      </c>
      <c r="C16" s="107" t="str">
        <f>IFERROR(INDEX(Logs!$B$2:$B$500,MATCH('Beneficiaries (9)'!$B16,Logs!$A$2:$A$500,0)),"")</f>
        <v>Nolwandle</v>
      </c>
      <c r="D16" s="107" t="str">
        <f>IFERROR(INDEX(Logs!$C$2:$C$500,MATCH('Beneficiaries (9)'!$B16,Logs!$A$2:$A$500,0)),"")</f>
        <v>Ndibongo</v>
      </c>
      <c r="E16" s="108" t="str">
        <f>IFERROR(INDEX(Logs!$D$2:$D$500,MATCH('Beneficiaries (9)'!$B16,Logs!$A$2:$A$500,0)),"")</f>
        <v>7112121188086</v>
      </c>
      <c r="F16" s="73" t="s">
        <v>761</v>
      </c>
      <c r="G16" s="101" t="str">
        <f t="shared" si="0"/>
        <v>F</v>
      </c>
      <c r="H16" s="72" t="s">
        <v>761</v>
      </c>
      <c r="I16" s="72" t="s">
        <v>762</v>
      </c>
      <c r="J16" s="111" t="str">
        <f>IFERROR(INDEX(Logs!$E$2:$E$500,MATCH('Beneficiaries (9)'!$B16,Logs!$A$2:$A$500,0)),"")</f>
        <v>06/02/2023</v>
      </c>
      <c r="K16" s="111" t="str">
        <f>IFERROR(INDEX(Logs!$F$2:$F$500,MATCH('Beneficiaries (9)'!$B16,Logs!$A$2:$A$500,0)),"")</f>
        <v>28/02/2024</v>
      </c>
      <c r="L16" s="111">
        <f>IFERROR(INDEX(Logs!$G$2:$G$500,MATCH('Beneficiaries (9)'!$B16,Logs!$A$2:$A$500,0)),0)</f>
        <v>22</v>
      </c>
      <c r="M16" s="72">
        <v>0</v>
      </c>
      <c r="N16" s="101">
        <f t="shared" si="3"/>
        <v>22</v>
      </c>
      <c r="O16" s="102">
        <f>IFERROR(INDEX(Logs!$H$2:$H$500,MATCH('Beneficiaries (9)'!$B16,Logs!$A$2:$A$500,0)),)</f>
        <v>204.16</v>
      </c>
      <c r="P16" s="103">
        <f t="shared" si="2"/>
        <v>4491.5199999999995</v>
      </c>
      <c r="Q16" s="95"/>
      <c r="R16" s="115"/>
    </row>
    <row r="17" spans="1:17" x14ac:dyDescent="0.2">
      <c r="A17" s="100" t="str">
        <f t="shared" si="1"/>
        <v/>
      </c>
      <c r="B17" s="72">
        <v>168</v>
      </c>
      <c r="C17" s="107" t="str">
        <f>IFERROR(INDEX(Logs!$B$2:$B$500,MATCH('Beneficiaries (9)'!$B17,Logs!$A$2:$A$500,0)),"")</f>
        <v>Vuyolwethu</v>
      </c>
      <c r="D17" s="107" t="str">
        <f>IFERROR(INDEX(Logs!$C$2:$C$500,MATCH('Beneficiaries (9)'!$B17,Logs!$A$2:$A$500,0)),"")</f>
        <v>Jim</v>
      </c>
      <c r="E17" s="108" t="str">
        <f>IFERROR(INDEX(Logs!$D$2:$D$500,MATCH('Beneficiaries (9)'!$B17,Logs!$A$2:$A$500,0)),"")</f>
        <v>9708116170084</v>
      </c>
      <c r="F17" s="73" t="s">
        <v>761</v>
      </c>
      <c r="G17" s="101" t="str">
        <f t="shared" si="0"/>
        <v>M</v>
      </c>
      <c r="H17" s="72" t="s">
        <v>761</v>
      </c>
      <c r="I17" s="72" t="s">
        <v>762</v>
      </c>
      <c r="J17" s="111" t="str">
        <f>IFERROR(INDEX(Logs!$E$2:$E$500,MATCH('Beneficiaries (9)'!$B17,Logs!$A$2:$A$500,0)),"")</f>
        <v>01/02/2023</v>
      </c>
      <c r="K17" s="111" t="str">
        <f>IFERROR(INDEX(Logs!$F$2:$F$500,MATCH('Beneficiaries (9)'!$B17,Logs!$A$2:$A$500,0)),"")</f>
        <v>31/01/2024</v>
      </c>
      <c r="L17" s="111">
        <f>IFERROR(INDEX(Logs!$G$2:$G$500,MATCH('Beneficiaries (9)'!$B17,Logs!$A$2:$A$500,0)),0)</f>
        <v>22</v>
      </c>
      <c r="M17" s="72">
        <v>0</v>
      </c>
      <c r="N17" s="101">
        <f t="shared" si="3"/>
        <v>22</v>
      </c>
      <c r="O17" s="102">
        <f>IFERROR(INDEX(Logs!$H$2:$H$500,MATCH('Beneficiaries (9)'!$B17,Logs!$A$2:$A$500,0)),)</f>
        <v>204.16</v>
      </c>
      <c r="P17" s="103">
        <f t="shared" si="2"/>
        <v>4491.5199999999995</v>
      </c>
      <c r="Q17" s="95"/>
    </row>
    <row r="18" spans="1:17" x14ac:dyDescent="0.2">
      <c r="A18" s="100" t="str">
        <f t="shared" si="1"/>
        <v/>
      </c>
      <c r="B18" s="72">
        <v>169</v>
      </c>
      <c r="C18" s="107" t="str">
        <f>IFERROR(INDEX(Logs!$B$2:$B$500,MATCH('Beneficiaries (9)'!$B18,Logs!$A$2:$A$500,0)),"")</f>
        <v>Keneuoe</v>
      </c>
      <c r="D18" s="107" t="str">
        <f>IFERROR(INDEX(Logs!$C$2:$C$500,MATCH('Beneficiaries (9)'!$B18,Logs!$A$2:$A$500,0)),"")</f>
        <v>Moletsane</v>
      </c>
      <c r="E18" s="108" t="str">
        <f>IFERROR(INDEX(Logs!$D$2:$D$500,MATCH('Beneficiaries (9)'!$B18,Logs!$A$2:$A$500,0)),"")</f>
        <v>8804190890084</v>
      </c>
      <c r="F18" s="73" t="s">
        <v>761</v>
      </c>
      <c r="G18" s="101" t="str">
        <f t="shared" si="0"/>
        <v>F</v>
      </c>
      <c r="H18" s="72" t="s">
        <v>761</v>
      </c>
      <c r="I18" s="72" t="s">
        <v>762</v>
      </c>
      <c r="J18" s="111" t="str">
        <f>IFERROR(INDEX(Logs!$E$2:$E$500,MATCH('Beneficiaries (9)'!$B18,Logs!$A$2:$A$500,0)),"")</f>
        <v>01/03/2023</v>
      </c>
      <c r="K18" s="111" t="str">
        <f>IFERROR(INDEX(Logs!$F$2:$F$500,MATCH('Beneficiaries (9)'!$B18,Logs!$A$2:$A$500,0)),"")</f>
        <v>28/02/2024</v>
      </c>
      <c r="L18" s="111">
        <f>IFERROR(INDEX(Logs!$G$2:$G$500,MATCH('Beneficiaries (9)'!$B18,Logs!$A$2:$A$500,0)),0)</f>
        <v>26</v>
      </c>
      <c r="M18" s="72">
        <v>0</v>
      </c>
      <c r="N18" s="101">
        <f t="shared" si="3"/>
        <v>26</v>
      </c>
      <c r="O18" s="102">
        <f>IFERROR(INDEX(Logs!$H$2:$H$500,MATCH('Beneficiaries (9)'!$B18,Logs!$A$2:$A$500,0)),)</f>
        <v>204.16</v>
      </c>
      <c r="P18" s="103">
        <f t="shared" si="2"/>
        <v>5308.16</v>
      </c>
      <c r="Q18" s="95"/>
    </row>
    <row r="19" spans="1:17" x14ac:dyDescent="0.2">
      <c r="A19" s="100" t="str">
        <f t="shared" si="1"/>
        <v>INVALID ID - Month</v>
      </c>
      <c r="B19" s="72">
        <v>170</v>
      </c>
      <c r="C19" s="107" t="str">
        <f>IFERROR(INDEX(Logs!$B$2:$B$500,MATCH('Beneficiaries (9)'!$B19,Logs!$A$2:$A$500,0)),"")</f>
        <v>Zoleka</v>
      </c>
      <c r="D19" s="107" t="str">
        <f>IFERROR(INDEX(Logs!$C$2:$C$500,MATCH('Beneficiaries (9)'!$B19,Logs!$A$2:$A$500,0)),"")</f>
        <v>Foloti</v>
      </c>
      <c r="E19" s="108" t="str">
        <f>IFERROR(INDEX(Logs!$D$2:$D$500,MATCH('Beneficiaries (9)'!$B19,Logs!$A$2:$A$500,0)),"")</f>
        <v>8596260853088</v>
      </c>
      <c r="F19" s="73" t="s">
        <v>761</v>
      </c>
      <c r="G19" s="101" t="str">
        <f t="shared" si="0"/>
        <v>F</v>
      </c>
      <c r="H19" s="72" t="s">
        <v>761</v>
      </c>
      <c r="I19" s="72" t="s">
        <v>762</v>
      </c>
      <c r="J19" s="111" t="str">
        <f>IFERROR(INDEX(Logs!$E$2:$E$500,MATCH('Beneficiaries (9)'!$B19,Logs!$A$2:$A$500,0)),"")</f>
        <v>01/03/2023</v>
      </c>
      <c r="K19" s="111" t="str">
        <f>IFERROR(INDEX(Logs!$F$2:$F$500,MATCH('Beneficiaries (9)'!$B19,Logs!$A$2:$A$500,0)),"")</f>
        <v>28/02/2024</v>
      </c>
      <c r="L19" s="111">
        <f>IFERROR(INDEX(Logs!$G$2:$G$500,MATCH('Beneficiaries (9)'!$B19,Logs!$A$2:$A$500,0)),0)</f>
        <v>26</v>
      </c>
      <c r="M19" s="72">
        <v>0</v>
      </c>
      <c r="N19" s="101">
        <f t="shared" si="3"/>
        <v>26</v>
      </c>
      <c r="O19" s="102">
        <f>IFERROR(INDEX(Logs!$H$2:$H$500,MATCH('Beneficiaries (9)'!$B19,Logs!$A$2:$A$500,0)),)</f>
        <v>204.16</v>
      </c>
      <c r="P19" s="103">
        <f t="shared" si="2"/>
        <v>5308.16</v>
      </c>
      <c r="Q19" s="95"/>
    </row>
    <row r="20" spans="1:17" x14ac:dyDescent="0.2">
      <c r="A20" s="100" t="str">
        <f t="shared" si="1"/>
        <v/>
      </c>
      <c r="B20" s="72">
        <v>171</v>
      </c>
      <c r="C20" s="107" t="str">
        <f>IFERROR(INDEX(Logs!$B$2:$B$500,MATCH('Beneficiaries (9)'!$B20,Logs!$A$2:$A$500,0)),"")</f>
        <v>Anathi</v>
      </c>
      <c r="D20" s="107" t="str">
        <f>IFERROR(INDEX(Logs!$C$2:$C$500,MATCH('Beneficiaries (9)'!$B20,Logs!$A$2:$A$500,0)),"")</f>
        <v>Dodo</v>
      </c>
      <c r="E20" s="108" t="str">
        <f>IFERROR(INDEX(Logs!$D$2:$D$500,MATCH('Beneficiaries (9)'!$B20,Logs!$A$2:$A$500,0)),"")</f>
        <v>8910250935089</v>
      </c>
      <c r="F20" s="73" t="s">
        <v>761</v>
      </c>
      <c r="G20" s="101" t="str">
        <f t="shared" si="0"/>
        <v>F</v>
      </c>
      <c r="H20" s="72" t="s">
        <v>761</v>
      </c>
      <c r="I20" s="72" t="s">
        <v>762</v>
      </c>
      <c r="J20" s="111" t="str">
        <f>IFERROR(INDEX(Logs!$E$2:$E$500,MATCH('Beneficiaries (9)'!$B20,Logs!$A$2:$A$500,0)),"")</f>
        <v>01/03/2023</v>
      </c>
      <c r="K20" s="111" t="str">
        <f>IFERROR(INDEX(Logs!$F$2:$F$500,MATCH('Beneficiaries (9)'!$B20,Logs!$A$2:$A$500,0)),"")</f>
        <v>28/02/2024</v>
      </c>
      <c r="L20" s="111">
        <f>IFERROR(INDEX(Logs!$G$2:$G$500,MATCH('Beneficiaries (9)'!$B20,Logs!$A$2:$A$500,0)),0)</f>
        <v>22</v>
      </c>
      <c r="M20" s="72">
        <v>0</v>
      </c>
      <c r="N20" s="101">
        <f t="shared" si="3"/>
        <v>22</v>
      </c>
      <c r="O20" s="102">
        <f>IFERROR(INDEX(Logs!$H$2:$H$500,MATCH('Beneficiaries (9)'!$B20,Logs!$A$2:$A$500,0)),)</f>
        <v>204.16</v>
      </c>
      <c r="P20" s="103">
        <f t="shared" si="2"/>
        <v>4491.5199999999995</v>
      </c>
      <c r="Q20" s="95"/>
    </row>
    <row r="21" spans="1:17" x14ac:dyDescent="0.2">
      <c r="A21" s="100" t="str">
        <f t="shared" si="1"/>
        <v/>
      </c>
      <c r="B21" s="72">
        <v>172</v>
      </c>
      <c r="C21" s="107" t="str">
        <f>IFERROR(INDEX(Logs!$B$2:$B$500,MATCH('Beneficiaries (9)'!$B21,Logs!$A$2:$A$500,0)),"")</f>
        <v>Andisiwe</v>
      </c>
      <c r="D21" s="107" t="str">
        <f>IFERROR(INDEX(Logs!$C$2:$C$500,MATCH('Beneficiaries (9)'!$B21,Logs!$A$2:$A$500,0)),"")</f>
        <v>Somwahla</v>
      </c>
      <c r="E21" s="108" t="str">
        <f>IFERROR(INDEX(Logs!$D$2:$D$500,MATCH('Beneficiaries (9)'!$B21,Logs!$A$2:$A$500,0)),"")</f>
        <v>9410050467085</v>
      </c>
      <c r="F21" s="73" t="s">
        <v>761</v>
      </c>
      <c r="G21" s="101" t="str">
        <f t="shared" si="0"/>
        <v>F</v>
      </c>
      <c r="H21" s="72" t="s">
        <v>761</v>
      </c>
      <c r="I21" s="72" t="s">
        <v>762</v>
      </c>
      <c r="J21" s="111" t="str">
        <f>IFERROR(INDEX(Logs!$E$2:$E$500,MATCH('Beneficiaries (9)'!$B21,Logs!$A$2:$A$500,0)),"")</f>
        <v>01/03/2023</v>
      </c>
      <c r="K21" s="111" t="str">
        <f>IFERROR(INDEX(Logs!$F$2:$F$500,MATCH('Beneficiaries (9)'!$B21,Logs!$A$2:$A$500,0)),"")</f>
        <v>28/02/2024</v>
      </c>
      <c r="L21" s="111">
        <f>IFERROR(INDEX(Logs!$G$2:$G$500,MATCH('Beneficiaries (9)'!$B21,Logs!$A$2:$A$500,0)),0)</f>
        <v>22</v>
      </c>
      <c r="M21" s="72">
        <v>0</v>
      </c>
      <c r="N21" s="101">
        <f t="shared" si="3"/>
        <v>22</v>
      </c>
      <c r="O21" s="102">
        <f>IFERROR(INDEX(Logs!$H$2:$H$500,MATCH('Beneficiaries (9)'!$B21,Logs!$A$2:$A$500,0)),)</f>
        <v>204.16</v>
      </c>
      <c r="P21" s="103">
        <f t="shared" si="2"/>
        <v>4491.5199999999995</v>
      </c>
      <c r="Q21" s="95"/>
    </row>
    <row r="22" spans="1:17" x14ac:dyDescent="0.2">
      <c r="A22" s="100" t="str">
        <f t="shared" si="1"/>
        <v/>
      </c>
      <c r="B22" s="72">
        <v>173</v>
      </c>
      <c r="C22" s="109" t="str">
        <f>IFERROR(INDEX(Logs!$B$2:$B$500,MATCH('Beneficiaries (9)'!$B22,Logs!$A$2:$A$500,0)),"")</f>
        <v xml:space="preserve">Asive </v>
      </c>
      <c r="D22" s="107" t="str">
        <f>IFERROR(INDEX(Logs!$C$2:$C$500,MATCH('Beneficiaries (9)'!$B22,Logs!$A$2:$A$500,0)),"")</f>
        <v>Katsikatsi</v>
      </c>
      <c r="E22" s="108" t="str">
        <f>IFERROR(INDEX(Logs!$D$2:$D$500,MATCH('Beneficiaries (9)'!$B22,Logs!$A$2:$A$500,0)),"")</f>
        <v>9503160411082</v>
      </c>
      <c r="F22" s="73" t="s">
        <v>761</v>
      </c>
      <c r="G22" s="101" t="str">
        <f t="shared" si="0"/>
        <v>F</v>
      </c>
      <c r="H22" s="72" t="s">
        <v>761</v>
      </c>
      <c r="I22" s="72" t="s">
        <v>762</v>
      </c>
      <c r="J22" s="111" t="str">
        <f>IFERROR(INDEX(Logs!$E$2:$E$500,MATCH('Beneficiaries (9)'!$B22,Logs!$A$2:$A$500,0)),"")</f>
        <v>01/03/2023</v>
      </c>
      <c r="K22" s="111" t="str">
        <f>IFERROR(INDEX(Logs!$F$2:$F$500,MATCH('Beneficiaries (9)'!$B22,Logs!$A$2:$A$500,0)),"")</f>
        <v>28/02/2024</v>
      </c>
      <c r="L22" s="111">
        <f>IFERROR(INDEX(Logs!$G$2:$G$500,MATCH('Beneficiaries (9)'!$B22,Logs!$A$2:$A$500,0)),0)</f>
        <v>22</v>
      </c>
      <c r="M22" s="72">
        <v>0</v>
      </c>
      <c r="N22" s="101">
        <f t="shared" si="3"/>
        <v>22</v>
      </c>
      <c r="O22" s="102">
        <f>IFERROR(INDEX(Logs!$H$2:$H$500,MATCH('Beneficiaries (9)'!$B22,Logs!$A$2:$A$500,0)),)</f>
        <v>204.16</v>
      </c>
      <c r="P22" s="103">
        <f t="shared" si="2"/>
        <v>4491.5199999999995</v>
      </c>
      <c r="Q22" s="95"/>
    </row>
    <row r="23" spans="1:17" x14ac:dyDescent="0.2">
      <c r="A23" s="100" t="str">
        <f t="shared" si="1"/>
        <v/>
      </c>
      <c r="B23" s="72">
        <v>174</v>
      </c>
      <c r="C23" s="109" t="str">
        <f>IFERROR(INDEX(Logs!$B$2:$B$500,MATCH('Beneficiaries (9)'!$B23,Logs!$A$2:$A$500,0)),"")</f>
        <v>Asive</v>
      </c>
      <c r="D23" s="107" t="str">
        <f>IFERROR(INDEX(Logs!$C$2:$C$500,MATCH('Beneficiaries (9)'!$B23,Logs!$A$2:$A$500,0)),"")</f>
        <v>Mbuwa</v>
      </c>
      <c r="E23" s="108" t="str">
        <f>IFERROR(INDEX(Logs!$D$2:$D$500,MATCH('Beneficiaries (9)'!$B23,Logs!$A$2:$A$500,0)),"")</f>
        <v>9307121051080</v>
      </c>
      <c r="F23" s="73" t="s">
        <v>761</v>
      </c>
      <c r="G23" s="101" t="str">
        <f t="shared" si="0"/>
        <v>F</v>
      </c>
      <c r="H23" s="72" t="s">
        <v>761</v>
      </c>
      <c r="I23" s="72" t="s">
        <v>762</v>
      </c>
      <c r="J23" s="111" t="str">
        <f>IFERROR(INDEX(Logs!$E$2:$E$500,MATCH('Beneficiaries (9)'!$B23,Logs!$A$2:$A$500,0)),"")</f>
        <v>01/03/2023</v>
      </c>
      <c r="K23" s="111" t="str">
        <f>IFERROR(INDEX(Logs!$F$2:$F$500,MATCH('Beneficiaries (9)'!$B23,Logs!$A$2:$A$500,0)),"")</f>
        <v>28/02/2024</v>
      </c>
      <c r="L23" s="111">
        <f>IFERROR(INDEX(Logs!$G$2:$G$500,MATCH('Beneficiaries (9)'!$B23,Logs!$A$2:$A$500,0)),0)</f>
        <v>22</v>
      </c>
      <c r="M23" s="72">
        <v>0</v>
      </c>
      <c r="N23" s="101">
        <f t="shared" si="3"/>
        <v>22</v>
      </c>
      <c r="O23" s="102">
        <f>IFERROR(INDEX(Logs!$H$2:$H$500,MATCH('Beneficiaries (9)'!$B23,Logs!$A$2:$A$500,0)),)</f>
        <v>204.16</v>
      </c>
      <c r="P23" s="103">
        <f t="shared" si="2"/>
        <v>4491.5199999999995</v>
      </c>
      <c r="Q23" s="95"/>
    </row>
    <row r="24" spans="1:17" x14ac:dyDescent="0.2">
      <c r="A24" s="100" t="str">
        <f t="shared" si="1"/>
        <v/>
      </c>
      <c r="B24" s="72">
        <v>175</v>
      </c>
      <c r="C24" s="109" t="str">
        <f>IFERROR(INDEX(Logs!$B$2:$B$500,MATCH('Beneficiaries (9)'!$B24,Logs!$A$2:$A$500,0)),"")</f>
        <v>Faniswa</v>
      </c>
      <c r="D24" s="107" t="str">
        <f>IFERROR(INDEX(Logs!$C$2:$C$500,MATCH('Beneficiaries (9)'!$B24,Logs!$A$2:$A$500,0)),"")</f>
        <v>Lahloma</v>
      </c>
      <c r="E24" s="108" t="str">
        <f>IFERROR(INDEX(Logs!$D$2:$D$500,MATCH('Beneficiaries (9)'!$B24,Logs!$A$2:$A$500,0)),"")</f>
        <v>7406100815085</v>
      </c>
      <c r="F24" s="73" t="s">
        <v>761</v>
      </c>
      <c r="G24" s="101" t="str">
        <f t="shared" si="0"/>
        <v>F</v>
      </c>
      <c r="H24" s="72" t="s">
        <v>761</v>
      </c>
      <c r="I24" s="72" t="s">
        <v>762</v>
      </c>
      <c r="J24" s="111" t="str">
        <f>IFERROR(INDEX(Logs!$E$2:$E$500,MATCH('Beneficiaries (9)'!$B24,Logs!$A$2:$A$500,0)),"")</f>
        <v>01/03/2023</v>
      </c>
      <c r="K24" s="111" t="str">
        <f>IFERROR(INDEX(Logs!$F$2:$F$500,MATCH('Beneficiaries (9)'!$B24,Logs!$A$2:$A$500,0)),"")</f>
        <v>28/02/2024</v>
      </c>
      <c r="L24" s="111">
        <f>IFERROR(INDEX(Logs!$G$2:$G$500,MATCH('Beneficiaries (9)'!$B24,Logs!$A$2:$A$500,0)),0)</f>
        <v>22</v>
      </c>
      <c r="M24" s="72">
        <v>0</v>
      </c>
      <c r="N24" s="101">
        <f t="shared" si="3"/>
        <v>22</v>
      </c>
      <c r="O24" s="102">
        <f>IFERROR(INDEX(Logs!$H$2:$H$500,MATCH('Beneficiaries (9)'!$B24,Logs!$A$2:$A$500,0)),)</f>
        <v>204.16</v>
      </c>
      <c r="P24" s="103">
        <f t="shared" si="2"/>
        <v>4491.5199999999995</v>
      </c>
      <c r="Q24" s="95"/>
    </row>
    <row r="25" spans="1:17" x14ac:dyDescent="0.2">
      <c r="A25" s="100" t="str">
        <f t="shared" si="1"/>
        <v/>
      </c>
      <c r="B25" s="72">
        <v>176</v>
      </c>
      <c r="C25" s="110" t="str">
        <f>IFERROR(INDEX(Logs!$B$2:$B$500,MATCH('Beneficiaries (9)'!$B25,Logs!$A$2:$A$500,0)),"")</f>
        <v>Bongani</v>
      </c>
      <c r="D25" s="107" t="str">
        <f>IFERROR(INDEX(Logs!$C$2:$C$500,MATCH('Beneficiaries (9)'!$B25,Logs!$A$2:$A$500,0)),"")</f>
        <v>Mayila</v>
      </c>
      <c r="E25" s="108" t="str">
        <f>IFERROR(INDEX(Logs!$D$2:$D$500,MATCH('Beneficiaries (9)'!$B25,Logs!$A$2:$A$500,0)),"")</f>
        <v>7301115772084</v>
      </c>
      <c r="F25" s="73" t="s">
        <v>761</v>
      </c>
      <c r="G25" s="101" t="str">
        <f t="shared" si="0"/>
        <v>M</v>
      </c>
      <c r="H25" s="72" t="s">
        <v>761</v>
      </c>
      <c r="I25" s="72" t="s">
        <v>762</v>
      </c>
      <c r="J25" s="111" t="str">
        <f>IFERROR(INDEX(Logs!$E$2:$E$500,MATCH('Beneficiaries (9)'!$B25,Logs!$A$2:$A$500,0)),"")</f>
        <v>01/03/2023</v>
      </c>
      <c r="K25" s="111" t="str">
        <f>IFERROR(INDEX(Logs!$F$2:$F$500,MATCH('Beneficiaries (9)'!$B25,Logs!$A$2:$A$500,0)),"")</f>
        <v>28/02/2024</v>
      </c>
      <c r="L25" s="111">
        <f>IFERROR(INDEX(Logs!$G$2:$G$500,MATCH('Beneficiaries (9)'!$B25,Logs!$A$2:$A$500,0)),0)</f>
        <v>22</v>
      </c>
      <c r="M25" s="72">
        <v>0</v>
      </c>
      <c r="N25" s="101">
        <f t="shared" si="3"/>
        <v>22</v>
      </c>
      <c r="O25" s="102">
        <f>IFERROR(INDEX(Logs!$H$2:$H$500,MATCH('Beneficiaries (9)'!$B25,Logs!$A$2:$A$500,0)),)</f>
        <v>204.16</v>
      </c>
      <c r="P25" s="103">
        <f t="shared" si="2"/>
        <v>4491.5199999999995</v>
      </c>
      <c r="Q25" s="95"/>
    </row>
    <row r="26" spans="1:17" x14ac:dyDescent="0.2">
      <c r="A26" s="100" t="str">
        <f t="shared" si="1"/>
        <v/>
      </c>
      <c r="B26" s="72">
        <v>177</v>
      </c>
      <c r="C26" s="110" t="str">
        <f>IFERROR(INDEX(Logs!$B$2:$B$500,MATCH('Beneficiaries (9)'!$B26,Logs!$A$2:$A$500,0)),"")</f>
        <v>Nicholas</v>
      </c>
      <c r="D26" s="107" t="str">
        <f>IFERROR(INDEX(Logs!$C$2:$C$500,MATCH('Beneficiaries (9)'!$B26,Logs!$A$2:$A$500,0)),"")</f>
        <v>Maxolo</v>
      </c>
      <c r="E26" s="108" t="str">
        <f>IFERROR(INDEX(Logs!$D$2:$D$500,MATCH('Beneficiaries (9)'!$B26,Logs!$A$2:$A$500,0)),"")</f>
        <v>8506165941087</v>
      </c>
      <c r="F26" s="73" t="s">
        <v>761</v>
      </c>
      <c r="G26" s="101" t="str">
        <f t="shared" si="0"/>
        <v>M</v>
      </c>
      <c r="H26" s="72" t="s">
        <v>761</v>
      </c>
      <c r="I26" s="72" t="s">
        <v>762</v>
      </c>
      <c r="J26" s="111" t="str">
        <f>IFERROR(INDEX(Logs!$E$2:$E$500,MATCH('Beneficiaries (9)'!$B26,Logs!$A$2:$A$500,0)),"")</f>
        <v>01/03/2023</v>
      </c>
      <c r="K26" s="111" t="str">
        <f>IFERROR(INDEX(Logs!$F$2:$F$500,MATCH('Beneficiaries (9)'!$B26,Logs!$A$2:$A$500,0)),"")</f>
        <v>28/02/2024</v>
      </c>
      <c r="L26" s="111">
        <f>IFERROR(INDEX(Logs!$G$2:$G$500,MATCH('Beneficiaries (9)'!$B26,Logs!$A$2:$A$500,0)),0)</f>
        <v>22</v>
      </c>
      <c r="M26" s="72">
        <v>0</v>
      </c>
      <c r="N26" s="101">
        <f t="shared" si="3"/>
        <v>22</v>
      </c>
      <c r="O26" s="102">
        <f>IFERROR(INDEX(Logs!$H$2:$H$500,MATCH('Beneficiaries (9)'!$B26,Logs!$A$2:$A$500,0)),)</f>
        <v>204.16</v>
      </c>
      <c r="P26" s="103">
        <f t="shared" si="2"/>
        <v>4491.5199999999995</v>
      </c>
      <c r="Q26" s="95"/>
    </row>
    <row r="27" spans="1:17" x14ac:dyDescent="0.2">
      <c r="A27" s="100" t="str">
        <f t="shared" si="1"/>
        <v/>
      </c>
      <c r="B27" s="72">
        <v>178</v>
      </c>
      <c r="C27" s="110" t="str">
        <f>IFERROR(INDEX(Logs!$B$2:$B$500,MATCH('Beneficiaries (9)'!$B27,Logs!$A$2:$A$500,0)),"")</f>
        <v>Nikelwa</v>
      </c>
      <c r="D27" s="107" t="str">
        <f>IFERROR(INDEX(Logs!$C$2:$C$500,MATCH('Beneficiaries (9)'!$B27,Logs!$A$2:$A$500,0)),"")</f>
        <v>Mnqetha</v>
      </c>
      <c r="E27" s="108" t="str">
        <f>IFERROR(INDEX(Logs!$D$2:$D$500,MATCH('Beneficiaries (9)'!$B27,Logs!$A$2:$A$500,0)),"")</f>
        <v>9009021159084</v>
      </c>
      <c r="F27" s="73" t="s">
        <v>761</v>
      </c>
      <c r="G27" s="101" t="str">
        <f t="shared" si="0"/>
        <v>F</v>
      </c>
      <c r="H27" s="72" t="s">
        <v>761</v>
      </c>
      <c r="I27" s="72" t="s">
        <v>762</v>
      </c>
      <c r="J27" s="111" t="str">
        <f>IFERROR(INDEX(Logs!$E$2:$E$500,MATCH('Beneficiaries (9)'!$B27,Logs!$A$2:$A$500,0)),"")</f>
        <v>01/03/2023</v>
      </c>
      <c r="K27" s="111" t="str">
        <f>IFERROR(INDEX(Logs!$F$2:$F$500,MATCH('Beneficiaries (9)'!$B27,Logs!$A$2:$A$500,0)),"")</f>
        <v>28/02/2024</v>
      </c>
      <c r="L27" s="111">
        <f>IFERROR(INDEX(Logs!$G$2:$G$500,MATCH('Beneficiaries (9)'!$B27,Logs!$A$2:$A$500,0)),0)</f>
        <v>22</v>
      </c>
      <c r="M27" s="72">
        <v>0</v>
      </c>
      <c r="N27" s="101">
        <f t="shared" si="3"/>
        <v>22</v>
      </c>
      <c r="O27" s="102">
        <f>IFERROR(INDEX(Logs!$H$2:$H$500,MATCH('Beneficiaries (9)'!$B27,Logs!$A$2:$A$500,0)),)</f>
        <v>204.16</v>
      </c>
      <c r="P27" s="103">
        <f t="shared" si="2"/>
        <v>4491.5199999999995</v>
      </c>
      <c r="Q27" s="95"/>
    </row>
    <row r="28" spans="1:17" x14ac:dyDescent="0.2">
      <c r="A28" s="100" t="str">
        <f t="shared" si="1"/>
        <v/>
      </c>
      <c r="B28" s="72">
        <v>179</v>
      </c>
      <c r="C28" s="110" t="str">
        <f>IFERROR(INDEX(Logs!$B$2:$B$500,MATCH('Beneficiaries (9)'!$B28,Logs!$A$2:$A$500,0)),"")</f>
        <v>Nleboheng</v>
      </c>
      <c r="D28" s="107" t="str">
        <f>IFERROR(INDEX(Logs!$C$2:$C$500,MATCH('Beneficiaries (9)'!$B28,Logs!$A$2:$A$500,0)),"")</f>
        <v>Kasibe</v>
      </c>
      <c r="E28" s="108" t="str">
        <f>IFERROR(INDEX(Logs!$D$2:$D$500,MATCH('Beneficiaries (9)'!$B28,Logs!$A$2:$A$500,0)),"")</f>
        <v>8102130441088</v>
      </c>
      <c r="F28" s="73" t="s">
        <v>761</v>
      </c>
      <c r="G28" s="101" t="str">
        <f t="shared" si="0"/>
        <v>F</v>
      </c>
      <c r="H28" s="72" t="s">
        <v>761</v>
      </c>
      <c r="I28" s="72" t="s">
        <v>762</v>
      </c>
      <c r="J28" s="111" t="str">
        <f>IFERROR(INDEX(Logs!$E$2:$E$500,MATCH('Beneficiaries (9)'!$B28,Logs!$A$2:$A$500,0)),"")</f>
        <v>01/03/2023</v>
      </c>
      <c r="K28" s="111" t="str">
        <f>IFERROR(INDEX(Logs!$F$2:$F$500,MATCH('Beneficiaries (9)'!$B28,Logs!$A$2:$A$500,0)),"")</f>
        <v>28/02/2024</v>
      </c>
      <c r="L28" s="111">
        <f>IFERROR(INDEX(Logs!$G$2:$G$500,MATCH('Beneficiaries (9)'!$B28,Logs!$A$2:$A$500,0)),0)</f>
        <v>22</v>
      </c>
      <c r="M28" s="72">
        <v>0</v>
      </c>
      <c r="N28" s="101">
        <f t="shared" si="3"/>
        <v>22</v>
      </c>
      <c r="O28" s="102">
        <f>IFERROR(INDEX(Logs!$H$2:$H$500,MATCH('Beneficiaries (9)'!$B28,Logs!$A$2:$A$500,0)),)</f>
        <v>204.16</v>
      </c>
      <c r="P28" s="103">
        <f t="shared" si="2"/>
        <v>4491.5199999999995</v>
      </c>
      <c r="Q28" s="95"/>
    </row>
    <row r="29" spans="1:17" x14ac:dyDescent="0.2">
      <c r="A29" s="100" t="str">
        <f t="shared" si="1"/>
        <v/>
      </c>
      <c r="B29" s="72">
        <v>180</v>
      </c>
      <c r="C29" s="110" t="str">
        <f>IFERROR(INDEX(Logs!$B$2:$B$500,MATCH('Beneficiaries (9)'!$B29,Logs!$A$2:$A$500,0)),"")</f>
        <v>Nokwanda</v>
      </c>
      <c r="D29" s="110" t="str">
        <f>IFERROR(INDEX(Logs!$C$2:$C$500,MATCH('Beneficiaries (9)'!$B29,Logs!$A$2:$A$500,0)),"")</f>
        <v>Mgxaji</v>
      </c>
      <c r="E29" s="108" t="str">
        <f>IFERROR(INDEX(Logs!$D$2:$D$500,MATCH('Beneficiaries (9)'!$B29,Logs!$A$2:$A$500,0)),"")</f>
        <v>8702201284083</v>
      </c>
      <c r="F29" s="73" t="s">
        <v>761</v>
      </c>
      <c r="G29" s="101" t="str">
        <f t="shared" si="0"/>
        <v>F</v>
      </c>
      <c r="H29" s="72" t="s">
        <v>761</v>
      </c>
      <c r="I29" s="72" t="s">
        <v>762</v>
      </c>
      <c r="J29" s="111" t="str">
        <f>IFERROR(INDEX(Logs!$E$2:$E$500,MATCH('Beneficiaries (9)'!$B29,Logs!$A$2:$A$500,0)),"")</f>
        <v>01/03/2023</v>
      </c>
      <c r="K29" s="111" t="str">
        <f>IFERROR(INDEX(Logs!$F$2:$F$500,MATCH('Beneficiaries (9)'!$B29,Logs!$A$2:$A$500,0)),"")</f>
        <v>28/02/2024</v>
      </c>
      <c r="L29" s="111">
        <f>IFERROR(INDEX(Logs!$G$2:$G$500,MATCH('Beneficiaries (9)'!$B29,Logs!$A$2:$A$500,0)),0)</f>
        <v>22</v>
      </c>
      <c r="M29" s="72">
        <v>0</v>
      </c>
      <c r="N29" s="101">
        <f t="shared" si="3"/>
        <v>22</v>
      </c>
      <c r="O29" s="102">
        <f>IFERROR(INDEX(Logs!$H$2:$H$500,MATCH('Beneficiaries (9)'!$B29,Logs!$A$2:$A$500,0)),)</f>
        <v>204.16</v>
      </c>
      <c r="P29" s="103">
        <f t="shared" si="2"/>
        <v>4491.5199999999995</v>
      </c>
      <c r="Q29" s="95"/>
    </row>
    <row r="30" spans="1:17" x14ac:dyDescent="0.2"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104">
        <f>SUM(L10:L29)</f>
        <v>448</v>
      </c>
      <c r="M30" s="104">
        <f>SUM(M10:M29)</f>
        <v>0</v>
      </c>
      <c r="N30" s="104">
        <f>SUM(N10:N29)</f>
        <v>448</v>
      </c>
      <c r="O30" s="105">
        <f>SUM(O10:O29)</f>
        <v>4083.1999999999989</v>
      </c>
      <c r="P30" s="106">
        <f>SUM(P10:P29)</f>
        <v>91463.680000000008</v>
      </c>
      <c r="Q30" s="97"/>
    </row>
    <row r="31" spans="1:17" ht="27" customHeight="1" x14ac:dyDescent="0.2">
      <c r="B31" s="217" t="s">
        <v>98</v>
      </c>
      <c r="C31" s="217"/>
      <c r="D31" s="98" t="s">
        <v>97</v>
      </c>
      <c r="E31" s="218" t="str">
        <f>Project!$G$30</f>
        <v>Benjamin Milandou-Loubeka</v>
      </c>
      <c r="F31" s="218"/>
      <c r="G31" s="218"/>
      <c r="H31" s="219" t="s">
        <v>101</v>
      </c>
      <c r="I31" s="220"/>
      <c r="J31" s="220"/>
      <c r="K31" s="220"/>
      <c r="L31" s="220"/>
      <c r="M31" s="220"/>
      <c r="N31" s="220"/>
      <c r="O31" s="220"/>
      <c r="P31" s="220"/>
      <c r="Q31" s="87"/>
    </row>
    <row r="32" spans="1:17" ht="27" customHeight="1" x14ac:dyDescent="0.2">
      <c r="B32" s="217"/>
      <c r="C32" s="217"/>
      <c r="D32" s="98" t="s">
        <v>100</v>
      </c>
      <c r="E32" s="221">
        <f>Project!$AN$1</f>
        <v>45199</v>
      </c>
      <c r="F32" s="221"/>
      <c r="G32" s="221"/>
      <c r="H32" s="219"/>
      <c r="I32" s="220"/>
      <c r="J32" s="220"/>
      <c r="K32" s="220"/>
      <c r="L32" s="220"/>
      <c r="M32" s="220"/>
      <c r="N32" s="220"/>
      <c r="O32" s="220"/>
      <c r="P32" s="220"/>
      <c r="Q32" s="87"/>
    </row>
    <row r="33" spans="2:17" ht="14.25" customHeight="1" x14ac:dyDescent="0.2">
      <c r="B33" s="88"/>
      <c r="C33" s="88"/>
      <c r="D33" s="99"/>
      <c r="E33" s="87"/>
      <c r="F33" s="87"/>
      <c r="G33" s="87"/>
      <c r="H33" s="81"/>
      <c r="I33" s="87"/>
      <c r="J33" s="87"/>
      <c r="K33" s="87"/>
      <c r="L33" s="87"/>
      <c r="M33" s="87"/>
      <c r="N33" s="87"/>
      <c r="O33" s="87"/>
      <c r="P33" s="87"/>
      <c r="Q33" s="87"/>
    </row>
    <row r="34" spans="2:17" ht="27" customHeight="1" x14ac:dyDescent="0.2">
      <c r="B34" s="217" t="s">
        <v>99</v>
      </c>
      <c r="C34" s="217"/>
      <c r="D34" s="98" t="s">
        <v>97</v>
      </c>
      <c r="E34" s="220"/>
      <c r="F34" s="220"/>
      <c r="G34" s="220"/>
      <c r="H34" s="219" t="s">
        <v>101</v>
      </c>
      <c r="I34" s="220"/>
      <c r="J34" s="220"/>
      <c r="K34" s="220"/>
      <c r="L34" s="220"/>
      <c r="M34" s="220"/>
      <c r="N34" s="220"/>
      <c r="O34" s="220"/>
      <c r="P34" s="220"/>
      <c r="Q34" s="87"/>
    </row>
    <row r="35" spans="2:17" ht="27" customHeight="1" x14ac:dyDescent="0.2">
      <c r="B35" s="217"/>
      <c r="C35" s="217"/>
      <c r="D35" s="98" t="s">
        <v>100</v>
      </c>
      <c r="E35" s="220"/>
      <c r="F35" s="220"/>
      <c r="G35" s="220"/>
      <c r="H35" s="219"/>
      <c r="I35" s="220"/>
      <c r="J35" s="220"/>
      <c r="K35" s="220"/>
      <c r="L35" s="220"/>
      <c r="M35" s="220"/>
      <c r="N35" s="220"/>
      <c r="O35" s="220"/>
      <c r="P35" s="220"/>
      <c r="Q35" s="87"/>
    </row>
    <row r="74" spans="2:2" x14ac:dyDescent="0.2">
      <c r="B74" s="87"/>
    </row>
  </sheetData>
  <sheetProtection algorithmName="SHA-512" hashValue="7XpZcK2KSupX5UInk7BvexcBerlk4mFDI1kopKaGda8oBsPm+LD48Nh+N0NdZQ/RBGR7RwrNdA/lte5ntQ6UgA==" saltValue="F5dy9s72TFtEAhsKRNyCqw==" spinCount="100000" sheet="1" selectLockedCells="1"/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conditionalFormatting sqref="C10:C21">
    <cfRule type="uniqueValues" dxfId="62" priority="9"/>
  </conditionalFormatting>
  <conditionalFormatting sqref="D10:D20">
    <cfRule type="uniqueValues" dxfId="61" priority="8"/>
  </conditionalFormatting>
  <conditionalFormatting sqref="D21:D28">
    <cfRule type="uniqueValues" dxfId="60" priority="7"/>
  </conditionalFormatting>
  <conditionalFormatting sqref="F10:F29">
    <cfRule type="expression" dxfId="59" priority="6">
      <formula>$C10=""</formula>
    </cfRule>
  </conditionalFormatting>
  <conditionalFormatting sqref="H10:I29">
    <cfRule type="expression" dxfId="58" priority="5">
      <formula>$C10=""</formula>
    </cfRule>
  </conditionalFormatting>
  <conditionalFormatting sqref="B10:B29">
    <cfRule type="expression" dxfId="57" priority="4">
      <formula>$C10=""</formula>
    </cfRule>
  </conditionalFormatting>
  <conditionalFormatting sqref="L10:L29">
    <cfRule type="cellIs" dxfId="56" priority="3" operator="equal">
      <formula>0</formula>
    </cfRule>
  </conditionalFormatting>
  <conditionalFormatting sqref="M10:N29">
    <cfRule type="expression" dxfId="55" priority="2">
      <formula>$C10=""</formula>
    </cfRule>
  </conditionalFormatting>
  <conditionalFormatting sqref="O10:P29">
    <cfRule type="expression" dxfId="54" priority="1">
      <formula>$C10=""</formula>
    </cfRule>
  </conditionalFormatting>
  <dataValidations count="1">
    <dataValidation allowBlank="1" showInputMessage="1" showErrorMessage="1" promptTitle="Month" sqref="I6" xr:uid="{D7ADE2EA-6304-40F4-A8A0-55124226A9EC}"/>
  </dataValidations>
  <pageMargins left="0.23622047244094491" right="0.23622047244094491" top="0.74803149606299213" bottom="0.74803149606299213" header="0.31496062992125984" footer="0.31496062992125984"/>
  <pageSetup paperSize="9" scale="86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3378-7021-491E-AE21-E8BF2282AB67}">
  <sheetPr codeName="Sheet24">
    <pageSetUpPr fitToPage="1"/>
  </sheetPr>
  <dimension ref="A1:R74"/>
  <sheetViews>
    <sheetView showGridLines="0" zoomScaleNormal="100" workbookViewId="0">
      <selection activeCell="B5" sqref="B5:C6"/>
    </sheetView>
  </sheetViews>
  <sheetFormatPr defaultColWidth="8.85546875" defaultRowHeight="12.75" x14ac:dyDescent="0.2"/>
  <cols>
    <col min="1" max="1" width="20.7109375" style="76" customWidth="1"/>
    <col min="2" max="2" width="4.42578125" style="80" customWidth="1"/>
    <col min="3" max="5" width="24.42578125" style="80" customWidth="1"/>
    <col min="6" max="6" width="10.140625" style="80" customWidth="1"/>
    <col min="7" max="9" width="8.85546875" style="80"/>
    <col min="10" max="11" width="10.140625" style="80" bestFit="1" customWidth="1"/>
    <col min="12" max="15" width="13.7109375" style="80" customWidth="1"/>
    <col min="16" max="17" width="14.5703125" style="80" customWidth="1"/>
    <col min="18" max="18" width="8.85546875" style="150"/>
    <col min="19" max="16384" width="8.85546875" style="80"/>
  </cols>
  <sheetData>
    <row r="1" spans="1:18" ht="15.75" x14ac:dyDescent="0.25">
      <c r="B1" s="77" t="s">
        <v>44</v>
      </c>
      <c r="C1" s="78"/>
      <c r="D1" s="78"/>
      <c r="E1" s="79" t="s">
        <v>1</v>
      </c>
      <c r="G1" s="78"/>
      <c r="H1" s="78"/>
      <c r="I1" s="78"/>
      <c r="R1" s="114">
        <f>IF(Beneficiaries!$P$30&gt;0,1,"")</f>
        <v>1</v>
      </c>
    </row>
    <row r="2" spans="1:18" ht="15.75" x14ac:dyDescent="0.25"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114">
        <f>IF('Beneficiaries (2)'!$P$30&gt;0,1,"")</f>
        <v>1</v>
      </c>
    </row>
    <row r="3" spans="1:18" x14ac:dyDescent="0.2">
      <c r="B3" s="210" t="s">
        <v>28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81"/>
      <c r="R3" s="114">
        <f>IF('Beneficiaries (3)'!$P$30&gt;0,1,"")</f>
        <v>1</v>
      </c>
    </row>
    <row r="4" spans="1:18" x14ac:dyDescent="0.2">
      <c r="C4" s="77"/>
      <c r="D4" s="77"/>
      <c r="E4" s="77"/>
      <c r="F4" s="77"/>
      <c r="G4" s="77"/>
      <c r="R4" s="114">
        <f>IF('Beneficiaries (4)'!$P$30&gt;0,1,"")</f>
        <v>1</v>
      </c>
    </row>
    <row r="5" spans="1:18" ht="12.75" customHeight="1" x14ac:dyDescent="0.2">
      <c r="B5" s="211" t="s">
        <v>12</v>
      </c>
      <c r="C5" s="212"/>
      <c r="D5" s="215" t="str">
        <f>Project!$Z$25</f>
        <v>WSDS/24/111i</v>
      </c>
      <c r="E5" s="215"/>
      <c r="F5" s="82"/>
      <c r="H5" s="83" t="s">
        <v>80</v>
      </c>
      <c r="I5" s="83" t="s">
        <v>81</v>
      </c>
      <c r="J5" s="77"/>
      <c r="K5" s="216" t="s">
        <v>78</v>
      </c>
      <c r="L5" s="216"/>
      <c r="M5" s="216"/>
      <c r="N5" s="85"/>
      <c r="O5" s="85"/>
      <c r="P5" s="77"/>
      <c r="Q5" s="77"/>
      <c r="R5" s="114">
        <f>IF('Beneficiaries (5)'!$P$30&gt;0,1,"")</f>
        <v>1</v>
      </c>
    </row>
    <row r="6" spans="1:18" x14ac:dyDescent="0.2">
      <c r="B6" s="213"/>
      <c r="C6" s="214"/>
      <c r="D6" s="215"/>
      <c r="E6" s="215"/>
      <c r="F6" s="82"/>
      <c r="H6" s="112" t="str">
        <f>TEXT(Project!$AN$1,"YYYY")</f>
        <v>2023</v>
      </c>
      <c r="I6" s="112" t="str">
        <f>TEXT(Project!$AN$1,"MMMM")</f>
        <v>September</v>
      </c>
      <c r="J6" s="86"/>
      <c r="K6" s="57">
        <v>1</v>
      </c>
      <c r="L6" s="84" t="s">
        <v>79</v>
      </c>
      <c r="M6" s="113">
        <f>IF(K6&gt;0,COUNT(R1:R20),"")</f>
        <v>14</v>
      </c>
      <c r="N6" s="85"/>
      <c r="O6" s="85"/>
      <c r="P6" s="87"/>
      <c r="Q6" s="87"/>
      <c r="R6" s="114">
        <f>IF('Beneficiaries (6)'!$P$30&gt;0,1,"")</f>
        <v>1</v>
      </c>
    </row>
    <row r="7" spans="1:18" x14ac:dyDescent="0.2">
      <c r="B7" s="88"/>
      <c r="C7" s="88"/>
      <c r="D7" s="88"/>
      <c r="E7" s="87"/>
      <c r="F7" s="87"/>
      <c r="H7" s="86"/>
      <c r="I7" s="86"/>
      <c r="J7" s="86"/>
      <c r="K7" s="87"/>
      <c r="L7" s="85"/>
      <c r="M7" s="85"/>
      <c r="N7" s="85"/>
      <c r="O7" s="85"/>
      <c r="P7" s="87"/>
      <c r="Q7" s="87"/>
      <c r="R7" s="114">
        <f>IF('Beneficiaries (7)'!$P$30&gt;0,1,"")</f>
        <v>1</v>
      </c>
    </row>
    <row r="8" spans="1:18" x14ac:dyDescent="0.2">
      <c r="B8" s="89"/>
      <c r="C8" s="90" t="s">
        <v>34</v>
      </c>
      <c r="D8" s="90" t="s">
        <v>34</v>
      </c>
      <c r="E8" s="90" t="s">
        <v>34</v>
      </c>
      <c r="F8" s="90" t="s">
        <v>35</v>
      </c>
      <c r="G8" s="89"/>
      <c r="H8" s="89"/>
      <c r="I8" s="90" t="s">
        <v>36</v>
      </c>
      <c r="J8" s="89"/>
      <c r="K8" s="90" t="s">
        <v>37</v>
      </c>
      <c r="L8" s="90" t="s">
        <v>38</v>
      </c>
      <c r="M8" s="90" t="s">
        <v>42</v>
      </c>
      <c r="N8" s="90"/>
      <c r="O8" s="90" t="s">
        <v>104</v>
      </c>
      <c r="P8" s="90"/>
      <c r="Q8" s="91"/>
      <c r="R8" s="114">
        <f>IF('Beneficiaries (8)'!$P$30&gt;0,1,"")</f>
        <v>1</v>
      </c>
    </row>
    <row r="9" spans="1:18" ht="45" x14ac:dyDescent="0.2">
      <c r="B9" s="92" t="s">
        <v>29</v>
      </c>
      <c r="C9" s="92" t="s">
        <v>30</v>
      </c>
      <c r="D9" s="92" t="s">
        <v>31</v>
      </c>
      <c r="E9" s="92" t="s">
        <v>32</v>
      </c>
      <c r="F9" s="93" t="s">
        <v>96</v>
      </c>
      <c r="G9" s="93" t="s">
        <v>33</v>
      </c>
      <c r="H9" s="93" t="s">
        <v>76</v>
      </c>
      <c r="I9" s="93" t="s">
        <v>77</v>
      </c>
      <c r="J9" s="93" t="s">
        <v>95</v>
      </c>
      <c r="K9" s="93" t="s">
        <v>94</v>
      </c>
      <c r="L9" s="93" t="s">
        <v>41</v>
      </c>
      <c r="M9" s="93" t="s">
        <v>103</v>
      </c>
      <c r="N9" s="93" t="s">
        <v>116</v>
      </c>
      <c r="O9" s="93" t="s">
        <v>102</v>
      </c>
      <c r="P9" s="93" t="s">
        <v>117</v>
      </c>
      <c r="Q9" s="94"/>
      <c r="R9" s="114">
        <f>IF('Beneficiaries (9)'!$P$30&gt;0,1,"")</f>
        <v>1</v>
      </c>
    </row>
    <row r="10" spans="1:18" x14ac:dyDescent="0.2">
      <c r="A10" s="100" t="str">
        <f>ID_Valid(E10)</f>
        <v/>
      </c>
      <c r="B10" s="72">
        <v>181</v>
      </c>
      <c r="C10" s="107" t="str">
        <f>IFERROR(INDEX(Logs!$B$2:$B$500,MATCH('Beneficiaries (10)'!$B10,Logs!$A$2:$A$500,0)),"")</f>
        <v>Ntomboxolo</v>
      </c>
      <c r="D10" s="107" t="str">
        <f>IFERROR(INDEX(Logs!$C$2:$C$500,MATCH('Beneficiaries (10)'!$B10,Logs!$A$2:$A$500,0)),"")</f>
        <v>Zenzile</v>
      </c>
      <c r="E10" s="108" t="str">
        <f>IFERROR(INDEX(Logs!$D$2:$D$500,MATCH('Beneficiaries (10)'!$B10,Logs!$A$2:$A$500,0)),"")</f>
        <v>9306080417084</v>
      </c>
      <c r="F10" s="73" t="s">
        <v>761</v>
      </c>
      <c r="G10" s="101" t="str">
        <f t="shared" ref="G10:G29" si="0">TheGender(E10)</f>
        <v>F</v>
      </c>
      <c r="H10" s="72" t="s">
        <v>761</v>
      </c>
      <c r="I10" s="74" t="s">
        <v>762</v>
      </c>
      <c r="J10" s="110" t="str">
        <f>IFERROR(INDEX(Logs!$E$2:$E$500,MATCH('Beneficiaries (10)'!$B10,Logs!$A$2:$A$500,0)),"")</f>
        <v>01/03/2023</v>
      </c>
      <c r="K10" s="110" t="str">
        <f>IFERROR(INDEX(Logs!$F$2:$F$500,MATCH('Beneficiaries (10)'!$B10,Logs!$A$2:$A$500,0)),"")</f>
        <v>28/02/2024</v>
      </c>
      <c r="L10" s="111">
        <f>IFERROR(INDEX(Logs!$G$2:$G$500,MATCH('Beneficiaries (10)'!$B10,Logs!$A$2:$A$500,0)),0)</f>
        <v>22</v>
      </c>
      <c r="M10" s="72">
        <v>0</v>
      </c>
      <c r="N10" s="101">
        <f>M10+L10</f>
        <v>22</v>
      </c>
      <c r="O10" s="102">
        <f>IFERROR(INDEX(Logs!$H$2:$H$500,MATCH('Beneficiaries (10)'!$B10,Logs!$A$2:$A$500,0)),)</f>
        <v>204.16</v>
      </c>
      <c r="P10" s="103">
        <f>IFERROR(N10*O10,0)</f>
        <v>4491.5199999999995</v>
      </c>
      <c r="Q10" s="95"/>
      <c r="R10" s="114">
        <f>IF('Beneficiaries (10)'!$P$30&gt;0,1,"")</f>
        <v>1</v>
      </c>
    </row>
    <row r="11" spans="1:18" x14ac:dyDescent="0.2">
      <c r="A11" s="100" t="str">
        <f t="shared" ref="A11:A29" si="1">ID_Valid(E11)</f>
        <v/>
      </c>
      <c r="B11" s="72">
        <v>182</v>
      </c>
      <c r="C11" s="107" t="str">
        <f>IFERROR(INDEX(Logs!$B$2:$B$500,MATCH('Beneficiaries (10)'!$B11,Logs!$A$2:$A$500,0)),"")</f>
        <v>Sive</v>
      </c>
      <c r="D11" s="107" t="str">
        <f>IFERROR(INDEX(Logs!$C$2:$C$500,MATCH('Beneficiaries (10)'!$B11,Logs!$A$2:$A$500,0)),"")</f>
        <v>Magqibelo</v>
      </c>
      <c r="E11" s="108" t="str">
        <f>IFERROR(INDEX(Logs!$D$2:$D$500,MATCH('Beneficiaries (10)'!$B11,Logs!$A$2:$A$500,0)),"")</f>
        <v>0106200813082</v>
      </c>
      <c r="F11" s="73" t="s">
        <v>761</v>
      </c>
      <c r="G11" s="101" t="str">
        <f t="shared" si="0"/>
        <v>F</v>
      </c>
      <c r="H11" s="72" t="s">
        <v>761</v>
      </c>
      <c r="I11" s="72" t="s">
        <v>762</v>
      </c>
      <c r="J11" s="111" t="str">
        <f>IFERROR(INDEX(Logs!$E$2:$E$500,MATCH('Beneficiaries (10)'!$B11,Logs!$A$2:$A$500,0)),"")</f>
        <v>01/03/2023</v>
      </c>
      <c r="K11" s="111" t="str">
        <f>IFERROR(INDEX(Logs!$F$2:$F$500,MATCH('Beneficiaries (10)'!$B11,Logs!$A$2:$A$500,0)),"")</f>
        <v>28/02/2024</v>
      </c>
      <c r="L11" s="111">
        <f>IFERROR(INDEX(Logs!$G$2:$G$500,MATCH('Beneficiaries (10)'!$B11,Logs!$A$2:$A$500,0)),0)</f>
        <v>22</v>
      </c>
      <c r="M11" s="72">
        <v>0</v>
      </c>
      <c r="N11" s="101">
        <f>L11+M11</f>
        <v>22</v>
      </c>
      <c r="O11" s="102">
        <f>IFERROR(INDEX(Logs!$H$2:$H$500,MATCH('Beneficiaries (10)'!$B11,Logs!$A$2:$A$500,0)),)</f>
        <v>204.16</v>
      </c>
      <c r="P11" s="103">
        <f t="shared" ref="P11:P29" si="2">IFERROR(N11*O11,0)</f>
        <v>4491.5199999999995</v>
      </c>
      <c r="Q11" s="95"/>
      <c r="R11" s="114">
        <f>IF('Beneficiaries (11)'!$P$30&gt;0,1,"")</f>
        <v>1</v>
      </c>
    </row>
    <row r="12" spans="1:18" x14ac:dyDescent="0.2">
      <c r="A12" s="100" t="str">
        <f t="shared" si="1"/>
        <v/>
      </c>
      <c r="B12" s="72">
        <v>183</v>
      </c>
      <c r="C12" s="107" t="str">
        <f>IFERROR(INDEX(Logs!$B$2:$B$500,MATCH('Beneficiaries (10)'!$B12,Logs!$A$2:$A$500,0)),"")</f>
        <v>Vuyokazi</v>
      </c>
      <c r="D12" s="107" t="str">
        <f>IFERROR(INDEX(Logs!$C$2:$C$500,MATCH('Beneficiaries (10)'!$B12,Logs!$A$2:$A$500,0)),"")</f>
        <v>Mdunusana</v>
      </c>
      <c r="E12" s="108" t="str">
        <f>IFERROR(INDEX(Logs!$D$2:$D$500,MATCH('Beneficiaries (10)'!$B12,Logs!$A$2:$A$500,0)),"")</f>
        <v>6502150810082</v>
      </c>
      <c r="F12" s="73" t="s">
        <v>761</v>
      </c>
      <c r="G12" s="101" t="str">
        <f t="shared" si="0"/>
        <v>F</v>
      </c>
      <c r="H12" s="72" t="s">
        <v>761</v>
      </c>
      <c r="I12" s="72" t="s">
        <v>762</v>
      </c>
      <c r="J12" s="111" t="str">
        <f>IFERROR(INDEX(Logs!$E$2:$E$500,MATCH('Beneficiaries (10)'!$B12,Logs!$A$2:$A$500,0)),"")</f>
        <v>01/03/2023</v>
      </c>
      <c r="K12" s="111" t="str">
        <f>IFERROR(INDEX(Logs!$F$2:$F$500,MATCH('Beneficiaries (10)'!$B12,Logs!$A$2:$A$500,0)),"")</f>
        <v>28/02/2024</v>
      </c>
      <c r="L12" s="111">
        <f>IFERROR(INDEX(Logs!$G$2:$G$500,MATCH('Beneficiaries (10)'!$B12,Logs!$A$2:$A$500,0)),0)</f>
        <v>22</v>
      </c>
      <c r="M12" s="72">
        <v>0</v>
      </c>
      <c r="N12" s="101">
        <f t="shared" ref="N12:N29" si="3">L12+M12</f>
        <v>22</v>
      </c>
      <c r="O12" s="102">
        <f>IFERROR(INDEX(Logs!$H$2:$H$500,MATCH('Beneficiaries (10)'!$B12,Logs!$A$2:$A$500,0)),)</f>
        <v>204.16</v>
      </c>
      <c r="P12" s="103">
        <f t="shared" si="2"/>
        <v>4491.5199999999995</v>
      </c>
      <c r="Q12" s="95"/>
      <c r="R12" s="114">
        <f>IF('Beneficiaries (12)'!$P$30&gt;0,1,"")</f>
        <v>1</v>
      </c>
    </row>
    <row r="13" spans="1:18" x14ac:dyDescent="0.2">
      <c r="A13" s="100" t="str">
        <f t="shared" si="1"/>
        <v/>
      </c>
      <c r="B13" s="72">
        <v>184</v>
      </c>
      <c r="C13" s="107" t="str">
        <f>IFERROR(INDEX(Logs!$B$2:$B$500,MATCH('Beneficiaries (10)'!$B13,Logs!$A$2:$A$500,0)),"")</f>
        <v>Zikhona</v>
      </c>
      <c r="D13" s="107" t="str">
        <f>IFERROR(INDEX(Logs!$C$2:$C$500,MATCH('Beneficiaries (10)'!$B13,Logs!$A$2:$A$500,0)),"")</f>
        <v>Ngwane</v>
      </c>
      <c r="E13" s="108" t="str">
        <f>IFERROR(INDEX(Logs!$D$2:$D$500,MATCH('Beneficiaries (10)'!$B13,Logs!$A$2:$A$500,0)),"")</f>
        <v>7702110376088</v>
      </c>
      <c r="F13" s="73" t="s">
        <v>761</v>
      </c>
      <c r="G13" s="101" t="str">
        <f t="shared" si="0"/>
        <v>F</v>
      </c>
      <c r="H13" s="72" t="s">
        <v>761</v>
      </c>
      <c r="I13" s="72" t="s">
        <v>762</v>
      </c>
      <c r="J13" s="111" t="str">
        <f>IFERROR(INDEX(Logs!$E$2:$E$500,MATCH('Beneficiaries (10)'!$B13,Logs!$A$2:$A$500,0)),"")</f>
        <v>01/03/2023</v>
      </c>
      <c r="K13" s="111" t="str">
        <f>IFERROR(INDEX(Logs!$F$2:$F$500,MATCH('Beneficiaries (10)'!$B13,Logs!$A$2:$A$500,0)),"")</f>
        <v>28/02/2024</v>
      </c>
      <c r="L13" s="111">
        <f>IFERROR(INDEX(Logs!$G$2:$G$500,MATCH('Beneficiaries (10)'!$B13,Logs!$A$2:$A$500,0)),0)</f>
        <v>22</v>
      </c>
      <c r="M13" s="72">
        <v>0</v>
      </c>
      <c r="N13" s="101">
        <f t="shared" si="3"/>
        <v>22</v>
      </c>
      <c r="O13" s="102">
        <f>IFERROR(INDEX(Logs!$H$2:$H$500,MATCH('Beneficiaries (10)'!$B13,Logs!$A$2:$A$500,0)),)</f>
        <v>204.16</v>
      </c>
      <c r="P13" s="103">
        <f t="shared" si="2"/>
        <v>4491.5199999999995</v>
      </c>
      <c r="Q13" s="95"/>
      <c r="R13" s="114">
        <f>IF('Beneficiaries (13)'!$P$30&gt;0,1,"")</f>
        <v>1</v>
      </c>
    </row>
    <row r="14" spans="1:18" x14ac:dyDescent="0.2">
      <c r="A14" s="100" t="str">
        <f t="shared" si="1"/>
        <v/>
      </c>
      <c r="B14" s="72">
        <v>185</v>
      </c>
      <c r="C14" s="107" t="str">
        <f>IFERROR(INDEX(Logs!$B$2:$B$500,MATCH('Beneficiaries (10)'!$B14,Logs!$A$2:$A$500,0)),"")</f>
        <v>Zodwa</v>
      </c>
      <c r="D14" s="107" t="str">
        <f>IFERROR(INDEX(Logs!$C$2:$C$500,MATCH('Beneficiaries (10)'!$B14,Logs!$A$2:$A$500,0)),"")</f>
        <v>Bozo</v>
      </c>
      <c r="E14" s="108" t="str">
        <f>IFERROR(INDEX(Logs!$D$2:$D$500,MATCH('Beneficiaries (10)'!$B14,Logs!$A$2:$A$500,0)),"")</f>
        <v>7903031539081</v>
      </c>
      <c r="F14" s="73" t="s">
        <v>761</v>
      </c>
      <c r="G14" s="101" t="str">
        <f t="shared" si="0"/>
        <v>F</v>
      </c>
      <c r="H14" s="72" t="s">
        <v>761</v>
      </c>
      <c r="I14" s="72" t="s">
        <v>762</v>
      </c>
      <c r="J14" s="111" t="str">
        <f>IFERROR(INDEX(Logs!$E$2:$E$500,MATCH('Beneficiaries (10)'!$B14,Logs!$A$2:$A$500,0)),"")</f>
        <v>01/03/2023</v>
      </c>
      <c r="K14" s="111" t="str">
        <f>IFERROR(INDEX(Logs!$F$2:$F$500,MATCH('Beneficiaries (10)'!$B14,Logs!$A$2:$A$500,0)),"")</f>
        <v>28/02/2024</v>
      </c>
      <c r="L14" s="111">
        <f>IFERROR(INDEX(Logs!$G$2:$G$500,MATCH('Beneficiaries (10)'!$B14,Logs!$A$2:$A$500,0)),0)</f>
        <v>22</v>
      </c>
      <c r="M14" s="72">
        <v>0</v>
      </c>
      <c r="N14" s="101">
        <f t="shared" si="3"/>
        <v>22</v>
      </c>
      <c r="O14" s="102">
        <f>IFERROR(INDEX(Logs!$H$2:$H$500,MATCH('Beneficiaries (10)'!$B14,Logs!$A$2:$A$500,0)),)</f>
        <v>218.08</v>
      </c>
      <c r="P14" s="103">
        <f t="shared" si="2"/>
        <v>4797.76</v>
      </c>
      <c r="Q14" s="95"/>
      <c r="R14" s="114">
        <f>IF('Beneficiaries (14)'!$P$30&gt;0,1,"")</f>
        <v>1</v>
      </c>
    </row>
    <row r="15" spans="1:18" x14ac:dyDescent="0.2">
      <c r="A15" s="100" t="str">
        <f t="shared" si="1"/>
        <v/>
      </c>
      <c r="B15" s="72">
        <v>186</v>
      </c>
      <c r="C15" s="107" t="str">
        <f>IFERROR(INDEX(Logs!$B$2:$B$500,MATCH('Beneficiaries (10)'!$B15,Logs!$A$2:$A$500,0)),"")</f>
        <v>Michael</v>
      </c>
      <c r="D15" s="107" t="str">
        <f>IFERROR(INDEX(Logs!$C$2:$C$500,MATCH('Beneficiaries (10)'!$B15,Logs!$A$2:$A$500,0)),"")</f>
        <v>Ramba</v>
      </c>
      <c r="E15" s="108" t="str">
        <f>IFERROR(INDEX(Logs!$D$2:$D$500,MATCH('Beneficiaries (10)'!$B15,Logs!$A$2:$A$500,0)),"")</f>
        <v>7405015423084</v>
      </c>
      <c r="F15" s="73" t="s">
        <v>761</v>
      </c>
      <c r="G15" s="101" t="str">
        <f t="shared" si="0"/>
        <v>M</v>
      </c>
      <c r="H15" s="72" t="s">
        <v>761</v>
      </c>
      <c r="I15" s="72" t="s">
        <v>762</v>
      </c>
      <c r="J15" s="111" t="str">
        <f>IFERROR(INDEX(Logs!$E$2:$E$500,MATCH('Beneficiaries (10)'!$B15,Logs!$A$2:$A$500,0)),"")</f>
        <v>06/03/2023</v>
      </c>
      <c r="K15" s="111" t="str">
        <f>IFERROR(INDEX(Logs!$F$2:$F$500,MATCH('Beneficiaries (10)'!$B15,Logs!$A$2:$A$500,0)),"")</f>
        <v>31/03/2024</v>
      </c>
      <c r="L15" s="111">
        <f>IFERROR(INDEX(Logs!$G$2:$G$500,MATCH('Beneficiaries (10)'!$B15,Logs!$A$2:$A$500,0)),0)</f>
        <v>22</v>
      </c>
      <c r="M15" s="72">
        <v>0</v>
      </c>
      <c r="N15" s="101">
        <f t="shared" si="3"/>
        <v>22</v>
      </c>
      <c r="O15" s="102">
        <f>IFERROR(INDEX(Logs!$H$2:$H$500,MATCH('Beneficiaries (10)'!$B15,Logs!$A$2:$A$500,0)),)</f>
        <v>204.16</v>
      </c>
      <c r="P15" s="103">
        <f t="shared" si="2"/>
        <v>4491.5199999999995</v>
      </c>
      <c r="Q15" s="95"/>
      <c r="R15" s="115"/>
    </row>
    <row r="16" spans="1:18" x14ac:dyDescent="0.2">
      <c r="A16" s="100" t="str">
        <f t="shared" si="1"/>
        <v/>
      </c>
      <c r="B16" s="72">
        <v>187</v>
      </c>
      <c r="C16" s="107" t="str">
        <f>IFERROR(INDEX(Logs!$B$2:$B$500,MATCH('Beneficiaries (10)'!$B16,Logs!$A$2:$A$500,0)),"")</f>
        <v>Thembakazi</v>
      </c>
      <c r="D16" s="107" t="str">
        <f>IFERROR(INDEX(Logs!$C$2:$C$500,MATCH('Beneficiaries (10)'!$B16,Logs!$A$2:$A$500,0)),"")</f>
        <v>Mqhamkana</v>
      </c>
      <c r="E16" s="108" t="str">
        <f>IFERROR(INDEX(Logs!$D$2:$D$500,MATCH('Beneficiaries (10)'!$B16,Logs!$A$2:$A$500,0)),"")</f>
        <v>8908200358089</v>
      </c>
      <c r="F16" s="73" t="s">
        <v>761</v>
      </c>
      <c r="G16" s="101" t="str">
        <f t="shared" si="0"/>
        <v>F</v>
      </c>
      <c r="H16" s="72" t="s">
        <v>761</v>
      </c>
      <c r="I16" s="72" t="s">
        <v>762</v>
      </c>
      <c r="J16" s="111" t="str">
        <f>IFERROR(INDEX(Logs!$E$2:$E$500,MATCH('Beneficiaries (10)'!$B16,Logs!$A$2:$A$500,0)),"")</f>
        <v>06/03/2023</v>
      </c>
      <c r="K16" s="111" t="str">
        <f>IFERROR(INDEX(Logs!$F$2:$F$500,MATCH('Beneficiaries (10)'!$B16,Logs!$A$2:$A$500,0)),"")</f>
        <v>31/03/2024</v>
      </c>
      <c r="L16" s="111">
        <f>IFERROR(INDEX(Logs!$G$2:$G$500,MATCH('Beneficiaries (10)'!$B16,Logs!$A$2:$A$500,0)),0)</f>
        <v>22</v>
      </c>
      <c r="M16" s="72">
        <v>0</v>
      </c>
      <c r="N16" s="101">
        <f t="shared" si="3"/>
        <v>22</v>
      </c>
      <c r="O16" s="102">
        <f>IFERROR(INDEX(Logs!$H$2:$H$500,MATCH('Beneficiaries (10)'!$B16,Logs!$A$2:$A$500,0)),)</f>
        <v>204.16</v>
      </c>
      <c r="P16" s="103">
        <f t="shared" si="2"/>
        <v>4491.5199999999995</v>
      </c>
      <c r="Q16" s="95"/>
      <c r="R16" s="115"/>
    </row>
    <row r="17" spans="1:18" x14ac:dyDescent="0.2">
      <c r="A17" s="100" t="str">
        <f t="shared" si="1"/>
        <v/>
      </c>
      <c r="B17" s="72">
        <v>188</v>
      </c>
      <c r="C17" s="107" t="str">
        <f>IFERROR(INDEX(Logs!$B$2:$B$500,MATCH('Beneficiaries (10)'!$B17,Logs!$A$2:$A$500,0)),"")</f>
        <v>Nontsikeleko</v>
      </c>
      <c r="D17" s="107" t="str">
        <f>IFERROR(INDEX(Logs!$C$2:$C$500,MATCH('Beneficiaries (10)'!$B17,Logs!$A$2:$A$500,0)),"")</f>
        <v>Makhendeleni</v>
      </c>
      <c r="E17" s="108" t="str">
        <f>IFERROR(INDEX(Logs!$D$2:$D$500,MATCH('Beneficiaries (10)'!$B17,Logs!$A$2:$A$500,0)),"")</f>
        <v>8612241717085</v>
      </c>
      <c r="F17" s="73" t="s">
        <v>761</v>
      </c>
      <c r="G17" s="101" t="str">
        <f t="shared" si="0"/>
        <v>F</v>
      </c>
      <c r="H17" s="72" t="s">
        <v>761</v>
      </c>
      <c r="I17" s="72" t="s">
        <v>762</v>
      </c>
      <c r="J17" s="111" t="str">
        <f>IFERROR(INDEX(Logs!$E$2:$E$500,MATCH('Beneficiaries (10)'!$B17,Logs!$A$2:$A$500,0)),"")</f>
        <v>06/03/2023</v>
      </c>
      <c r="K17" s="111" t="str">
        <f>IFERROR(INDEX(Logs!$F$2:$F$500,MATCH('Beneficiaries (10)'!$B17,Logs!$A$2:$A$500,0)),"")</f>
        <v>31/03/2024</v>
      </c>
      <c r="L17" s="111">
        <f>IFERROR(INDEX(Logs!$G$2:$G$500,MATCH('Beneficiaries (10)'!$B17,Logs!$A$2:$A$500,0)),0)</f>
        <v>22</v>
      </c>
      <c r="M17" s="72">
        <v>0</v>
      </c>
      <c r="N17" s="101">
        <f t="shared" si="3"/>
        <v>22</v>
      </c>
      <c r="O17" s="102">
        <f>IFERROR(INDEX(Logs!$H$2:$H$500,MATCH('Beneficiaries (10)'!$B17,Logs!$A$2:$A$500,0)),)</f>
        <v>204.16</v>
      </c>
      <c r="P17" s="103">
        <f t="shared" si="2"/>
        <v>4491.5199999999995</v>
      </c>
      <c r="Q17" s="95"/>
      <c r="R17" s="115"/>
    </row>
    <row r="18" spans="1:18" x14ac:dyDescent="0.2">
      <c r="A18" s="100" t="str">
        <f t="shared" si="1"/>
        <v/>
      </c>
      <c r="B18" s="72">
        <v>189</v>
      </c>
      <c r="C18" s="107" t="str">
        <f>IFERROR(INDEX(Logs!$B$2:$B$500,MATCH('Beneficiaries (10)'!$B18,Logs!$A$2:$A$500,0)),"")</f>
        <v>Mamela</v>
      </c>
      <c r="D18" s="107" t="str">
        <f>IFERROR(INDEX(Logs!$C$2:$C$500,MATCH('Beneficiaries (10)'!$B18,Logs!$A$2:$A$500,0)),"")</f>
        <v>Posiso</v>
      </c>
      <c r="E18" s="108" t="str">
        <f>IFERROR(INDEX(Logs!$D$2:$D$500,MATCH('Beneficiaries (10)'!$B18,Logs!$A$2:$A$500,0)),"")</f>
        <v>8903180995083</v>
      </c>
      <c r="F18" s="73" t="s">
        <v>761</v>
      </c>
      <c r="G18" s="101" t="str">
        <f t="shared" si="0"/>
        <v>F</v>
      </c>
      <c r="H18" s="72" t="s">
        <v>761</v>
      </c>
      <c r="I18" s="72" t="s">
        <v>762</v>
      </c>
      <c r="J18" s="111" t="str">
        <f>IFERROR(INDEX(Logs!$E$2:$E$500,MATCH('Beneficiaries (10)'!$B18,Logs!$A$2:$A$500,0)),"")</f>
        <v>06/03/2023</v>
      </c>
      <c r="K18" s="111" t="str">
        <f>IFERROR(INDEX(Logs!$F$2:$F$500,MATCH('Beneficiaries (10)'!$B18,Logs!$A$2:$A$500,0)),"")</f>
        <v>31/03/2024</v>
      </c>
      <c r="L18" s="111">
        <f>IFERROR(INDEX(Logs!$G$2:$G$500,MATCH('Beneficiaries (10)'!$B18,Logs!$A$2:$A$500,0)),0)</f>
        <v>22</v>
      </c>
      <c r="M18" s="72">
        <v>0</v>
      </c>
      <c r="N18" s="101">
        <f t="shared" si="3"/>
        <v>22</v>
      </c>
      <c r="O18" s="102">
        <f>IFERROR(INDEX(Logs!$H$2:$H$500,MATCH('Beneficiaries (10)'!$B18,Logs!$A$2:$A$500,0)),)</f>
        <v>204.16</v>
      </c>
      <c r="P18" s="103">
        <f t="shared" si="2"/>
        <v>4491.5199999999995</v>
      </c>
      <c r="Q18" s="95"/>
      <c r="R18" s="115"/>
    </row>
    <row r="19" spans="1:18" x14ac:dyDescent="0.2">
      <c r="A19" s="100" t="str">
        <f t="shared" si="1"/>
        <v/>
      </c>
      <c r="B19" s="72">
        <v>190</v>
      </c>
      <c r="C19" s="107" t="str">
        <f>IFERROR(INDEX(Logs!$B$2:$B$500,MATCH('Beneficiaries (10)'!$B19,Logs!$A$2:$A$500,0)),"")</f>
        <v>Mthetheleli</v>
      </c>
      <c r="D19" s="107" t="str">
        <f>IFERROR(INDEX(Logs!$C$2:$C$500,MATCH('Beneficiaries (10)'!$B19,Logs!$A$2:$A$500,0)),"")</f>
        <v>Mputha</v>
      </c>
      <c r="E19" s="108" t="str">
        <f>IFERROR(INDEX(Logs!$D$2:$D$500,MATCH('Beneficiaries (10)'!$B19,Logs!$A$2:$A$500,0)),"")</f>
        <v>7704215475088</v>
      </c>
      <c r="F19" s="73" t="s">
        <v>761</v>
      </c>
      <c r="G19" s="101" t="str">
        <f t="shared" si="0"/>
        <v>M</v>
      </c>
      <c r="H19" s="72" t="s">
        <v>761</v>
      </c>
      <c r="I19" s="72" t="s">
        <v>762</v>
      </c>
      <c r="J19" s="111" t="str">
        <f>IFERROR(INDEX(Logs!$E$2:$E$500,MATCH('Beneficiaries (10)'!$B19,Logs!$A$2:$A$500,0)),"")</f>
        <v>06/03/2023</v>
      </c>
      <c r="K19" s="111" t="str">
        <f>IFERROR(INDEX(Logs!$F$2:$F$500,MATCH('Beneficiaries (10)'!$B19,Logs!$A$2:$A$500,0)),"")</f>
        <v>31/03/2024</v>
      </c>
      <c r="L19" s="111">
        <f>IFERROR(INDEX(Logs!$G$2:$G$500,MATCH('Beneficiaries (10)'!$B19,Logs!$A$2:$A$500,0)),0)</f>
        <v>22</v>
      </c>
      <c r="M19" s="72">
        <v>0</v>
      </c>
      <c r="N19" s="101">
        <f t="shared" si="3"/>
        <v>22</v>
      </c>
      <c r="O19" s="102">
        <f>IFERROR(INDEX(Logs!$H$2:$H$500,MATCH('Beneficiaries (10)'!$B19,Logs!$A$2:$A$500,0)),)</f>
        <v>204.16</v>
      </c>
      <c r="P19" s="103">
        <f t="shared" si="2"/>
        <v>4491.5199999999995</v>
      </c>
      <c r="Q19" s="95"/>
      <c r="R19" s="115"/>
    </row>
    <row r="20" spans="1:18" x14ac:dyDescent="0.2">
      <c r="A20" s="100" t="str">
        <f t="shared" si="1"/>
        <v/>
      </c>
      <c r="B20" s="72">
        <v>191</v>
      </c>
      <c r="C20" s="107" t="str">
        <f>IFERROR(INDEX(Logs!$B$2:$B$500,MATCH('Beneficiaries (10)'!$B20,Logs!$A$2:$A$500,0)),"")</f>
        <v>Sicelo</v>
      </c>
      <c r="D20" s="107" t="str">
        <f>IFERROR(INDEX(Logs!$C$2:$C$500,MATCH('Beneficiaries (10)'!$B20,Logs!$A$2:$A$500,0)),"")</f>
        <v>Ndlovu</v>
      </c>
      <c r="E20" s="108" t="str">
        <f>IFERROR(INDEX(Logs!$D$2:$D$500,MATCH('Beneficiaries (10)'!$B20,Logs!$A$2:$A$500,0)),"")</f>
        <v>8001125870089</v>
      </c>
      <c r="F20" s="73" t="s">
        <v>761</v>
      </c>
      <c r="G20" s="101" t="str">
        <f t="shared" si="0"/>
        <v>M</v>
      </c>
      <c r="H20" s="72" t="s">
        <v>761</v>
      </c>
      <c r="I20" s="72" t="s">
        <v>762</v>
      </c>
      <c r="J20" s="111" t="str">
        <f>IFERROR(INDEX(Logs!$E$2:$E$500,MATCH('Beneficiaries (10)'!$B20,Logs!$A$2:$A$500,0)),"")</f>
        <v>13/03/2023</v>
      </c>
      <c r="K20" s="111" t="str">
        <f>IFERROR(INDEX(Logs!$F$2:$F$500,MATCH('Beneficiaries (10)'!$B20,Logs!$A$2:$A$500,0)),"")</f>
        <v>28/02/2024</v>
      </c>
      <c r="L20" s="111">
        <f>IFERROR(INDEX(Logs!$G$2:$G$500,MATCH('Beneficiaries (10)'!$B20,Logs!$A$2:$A$500,0)),0)</f>
        <v>22</v>
      </c>
      <c r="M20" s="72">
        <v>0</v>
      </c>
      <c r="N20" s="101">
        <f t="shared" si="3"/>
        <v>22</v>
      </c>
      <c r="O20" s="102">
        <f>IFERROR(INDEX(Logs!$H$2:$H$500,MATCH('Beneficiaries (10)'!$B20,Logs!$A$2:$A$500,0)),)</f>
        <v>204.16</v>
      </c>
      <c r="P20" s="103">
        <f t="shared" si="2"/>
        <v>4491.5199999999995</v>
      </c>
      <c r="Q20" s="95"/>
    </row>
    <row r="21" spans="1:18" x14ac:dyDescent="0.2">
      <c r="A21" s="100" t="str">
        <f t="shared" si="1"/>
        <v/>
      </c>
      <c r="B21" s="72">
        <v>192</v>
      </c>
      <c r="C21" s="107" t="str">
        <f>IFERROR(INDEX(Logs!$B$2:$B$500,MATCH('Beneficiaries (10)'!$B21,Logs!$A$2:$A$500,0)),"")</f>
        <v>Yandiswa</v>
      </c>
      <c r="D21" s="107" t="str">
        <f>IFERROR(INDEX(Logs!$C$2:$C$500,MATCH('Beneficiaries (10)'!$B21,Logs!$A$2:$A$500,0)),"")</f>
        <v>Mjodo</v>
      </c>
      <c r="E21" s="108" t="str">
        <f>IFERROR(INDEX(Logs!$D$2:$D$500,MATCH('Beneficiaries (10)'!$B21,Logs!$A$2:$A$500,0)),"")</f>
        <v>8302040557086</v>
      </c>
      <c r="F21" s="73" t="s">
        <v>761</v>
      </c>
      <c r="G21" s="101" t="str">
        <f t="shared" si="0"/>
        <v>F</v>
      </c>
      <c r="H21" s="72" t="s">
        <v>761</v>
      </c>
      <c r="I21" s="72" t="s">
        <v>762</v>
      </c>
      <c r="J21" s="111" t="str">
        <f>IFERROR(INDEX(Logs!$E$2:$E$500,MATCH('Beneficiaries (10)'!$B21,Logs!$A$2:$A$500,0)),"")</f>
        <v>13/03/2023</v>
      </c>
      <c r="K21" s="111" t="str">
        <f>IFERROR(INDEX(Logs!$F$2:$F$500,MATCH('Beneficiaries (10)'!$B21,Logs!$A$2:$A$500,0)),"")</f>
        <v>31/03/2024</v>
      </c>
      <c r="L21" s="111">
        <f>IFERROR(INDEX(Logs!$G$2:$G$500,MATCH('Beneficiaries (10)'!$B21,Logs!$A$2:$A$500,0)),0)</f>
        <v>22</v>
      </c>
      <c r="M21" s="72">
        <v>0</v>
      </c>
      <c r="N21" s="101">
        <f t="shared" si="3"/>
        <v>22</v>
      </c>
      <c r="O21" s="102">
        <f>IFERROR(INDEX(Logs!$H$2:$H$500,MATCH('Beneficiaries (10)'!$B21,Logs!$A$2:$A$500,0)),)</f>
        <v>204.16</v>
      </c>
      <c r="P21" s="103">
        <f t="shared" si="2"/>
        <v>4491.5199999999995</v>
      </c>
      <c r="Q21" s="95"/>
    </row>
    <row r="22" spans="1:18" x14ac:dyDescent="0.2">
      <c r="A22" s="100" t="str">
        <f t="shared" si="1"/>
        <v/>
      </c>
      <c r="B22" s="72">
        <v>193</v>
      </c>
      <c r="C22" s="109" t="str">
        <f>IFERROR(INDEX(Logs!$B$2:$B$500,MATCH('Beneficiaries (10)'!$B22,Logs!$A$2:$A$500,0)),"")</f>
        <v>Jerome</v>
      </c>
      <c r="D22" s="107" t="str">
        <f>IFERROR(INDEX(Logs!$C$2:$C$500,MATCH('Beneficiaries (10)'!$B22,Logs!$A$2:$A$500,0)),"")</f>
        <v>Gomis</v>
      </c>
      <c r="E22" s="108" t="str">
        <f>IFERROR(INDEX(Logs!$D$2:$D$500,MATCH('Beneficiaries (10)'!$B22,Logs!$A$2:$A$500,0)),"")</f>
        <v>6807106122080</v>
      </c>
      <c r="F22" s="73" t="s">
        <v>761</v>
      </c>
      <c r="G22" s="101" t="str">
        <f t="shared" si="0"/>
        <v>M</v>
      </c>
      <c r="H22" s="72" t="s">
        <v>761</v>
      </c>
      <c r="I22" s="72" t="s">
        <v>762</v>
      </c>
      <c r="J22" s="111" t="str">
        <f>IFERROR(INDEX(Logs!$E$2:$E$500,MATCH('Beneficiaries (10)'!$B22,Logs!$A$2:$A$500,0)),"")</f>
        <v>01/04/2023</v>
      </c>
      <c r="K22" s="111" t="str">
        <f>IFERROR(INDEX(Logs!$F$2:$F$500,MATCH('Beneficiaries (10)'!$B22,Logs!$A$2:$A$500,0)),"")</f>
        <v>31/03/2024</v>
      </c>
      <c r="L22" s="111">
        <f>IFERROR(INDEX(Logs!$G$2:$G$500,MATCH('Beneficiaries (10)'!$B22,Logs!$A$2:$A$500,0)),0)</f>
        <v>22</v>
      </c>
      <c r="M22" s="72">
        <v>0</v>
      </c>
      <c r="N22" s="101">
        <f t="shared" si="3"/>
        <v>22</v>
      </c>
      <c r="O22" s="102">
        <f>IFERROR(INDEX(Logs!$H$2:$H$500,MATCH('Beneficiaries (10)'!$B22,Logs!$A$2:$A$500,0)),)</f>
        <v>204.16</v>
      </c>
      <c r="P22" s="103">
        <f t="shared" si="2"/>
        <v>4491.5199999999995</v>
      </c>
      <c r="Q22" s="95"/>
    </row>
    <row r="23" spans="1:18" x14ac:dyDescent="0.2">
      <c r="A23" s="100" t="str">
        <f t="shared" si="1"/>
        <v/>
      </c>
      <c r="B23" s="72">
        <v>194</v>
      </c>
      <c r="C23" s="109" t="str">
        <f>IFERROR(INDEX(Logs!$B$2:$B$500,MATCH('Beneficiaries (10)'!$B23,Logs!$A$2:$A$500,0)),"")</f>
        <v>Yolanda</v>
      </c>
      <c r="D23" s="107" t="str">
        <f>IFERROR(INDEX(Logs!$C$2:$C$500,MATCH('Beneficiaries (10)'!$B23,Logs!$A$2:$A$500,0)),"")</f>
        <v>Snico</v>
      </c>
      <c r="E23" s="108" t="str">
        <f>IFERROR(INDEX(Logs!$D$2:$D$500,MATCH('Beneficiaries (10)'!$B23,Logs!$A$2:$A$500,0)),"")</f>
        <v>9002150755087</v>
      </c>
      <c r="F23" s="73" t="s">
        <v>761</v>
      </c>
      <c r="G23" s="101" t="str">
        <f t="shared" si="0"/>
        <v>F</v>
      </c>
      <c r="H23" s="72" t="s">
        <v>761</v>
      </c>
      <c r="I23" s="72" t="s">
        <v>762</v>
      </c>
      <c r="J23" s="111" t="str">
        <f>IFERROR(INDEX(Logs!$E$2:$E$500,MATCH('Beneficiaries (10)'!$B23,Logs!$A$2:$A$500,0)),"")</f>
        <v>01/04/2023</v>
      </c>
      <c r="K23" s="111" t="str">
        <f>IFERROR(INDEX(Logs!$F$2:$F$500,MATCH('Beneficiaries (10)'!$B23,Logs!$A$2:$A$500,0)),"")</f>
        <v>31/03/2024</v>
      </c>
      <c r="L23" s="111">
        <f>IFERROR(INDEX(Logs!$G$2:$G$500,MATCH('Beneficiaries (10)'!$B23,Logs!$A$2:$A$500,0)),0)</f>
        <v>22</v>
      </c>
      <c r="M23" s="72">
        <v>0</v>
      </c>
      <c r="N23" s="101">
        <f t="shared" si="3"/>
        <v>22</v>
      </c>
      <c r="O23" s="102">
        <f>IFERROR(INDEX(Logs!$H$2:$H$500,MATCH('Beneficiaries (10)'!$B23,Logs!$A$2:$A$500,0)),)</f>
        <v>204.16</v>
      </c>
      <c r="P23" s="103">
        <f t="shared" si="2"/>
        <v>4491.5199999999995</v>
      </c>
      <c r="Q23" s="95"/>
    </row>
    <row r="24" spans="1:18" x14ac:dyDescent="0.2">
      <c r="A24" s="100" t="str">
        <f t="shared" si="1"/>
        <v/>
      </c>
      <c r="B24" s="72">
        <v>195</v>
      </c>
      <c r="C24" s="109" t="str">
        <f>IFERROR(INDEX(Logs!$B$2:$B$500,MATCH('Beneficiaries (10)'!$B24,Logs!$A$2:$A$500,0)),"")</f>
        <v>Thandiwe</v>
      </c>
      <c r="D24" s="107" t="str">
        <f>IFERROR(INDEX(Logs!$C$2:$C$500,MATCH('Beneficiaries (10)'!$B24,Logs!$A$2:$A$500,0)),"")</f>
        <v>Ncamiso</v>
      </c>
      <c r="E24" s="108" t="str">
        <f>IFERROR(INDEX(Logs!$D$2:$D$500,MATCH('Beneficiaries (10)'!$B24,Logs!$A$2:$A$500,0)),"")</f>
        <v>9006261693087</v>
      </c>
      <c r="F24" s="73" t="s">
        <v>761</v>
      </c>
      <c r="G24" s="101" t="str">
        <f t="shared" si="0"/>
        <v>F</v>
      </c>
      <c r="H24" s="72" t="s">
        <v>761</v>
      </c>
      <c r="I24" s="72" t="s">
        <v>762</v>
      </c>
      <c r="J24" s="111" t="str">
        <f>IFERROR(INDEX(Logs!$E$2:$E$500,MATCH('Beneficiaries (10)'!$B24,Logs!$A$2:$A$500,0)),"")</f>
        <v>01/04/2023</v>
      </c>
      <c r="K24" s="111" t="str">
        <f>IFERROR(INDEX(Logs!$F$2:$F$500,MATCH('Beneficiaries (10)'!$B24,Logs!$A$2:$A$500,0)),"")</f>
        <v>31/03/2024</v>
      </c>
      <c r="L24" s="111">
        <f>IFERROR(INDEX(Logs!$G$2:$G$500,MATCH('Beneficiaries (10)'!$B24,Logs!$A$2:$A$500,0)),0)</f>
        <v>22</v>
      </c>
      <c r="M24" s="72">
        <v>0</v>
      </c>
      <c r="N24" s="101">
        <f t="shared" si="3"/>
        <v>22</v>
      </c>
      <c r="O24" s="102">
        <f>IFERROR(INDEX(Logs!$H$2:$H$500,MATCH('Beneficiaries (10)'!$B24,Logs!$A$2:$A$500,0)),)</f>
        <v>204.16</v>
      </c>
      <c r="P24" s="103">
        <f t="shared" si="2"/>
        <v>4491.5199999999995</v>
      </c>
      <c r="Q24" s="95"/>
    </row>
    <row r="25" spans="1:18" x14ac:dyDescent="0.2">
      <c r="A25" s="100" t="str">
        <f t="shared" si="1"/>
        <v/>
      </c>
      <c r="B25" s="72">
        <v>196</v>
      </c>
      <c r="C25" s="110" t="str">
        <f>IFERROR(INDEX(Logs!$B$2:$B$500,MATCH('Beneficiaries (10)'!$B25,Logs!$A$2:$A$500,0)),"")</f>
        <v>Siyabonga</v>
      </c>
      <c r="D25" s="107" t="str">
        <f>IFERROR(INDEX(Logs!$C$2:$C$500,MATCH('Beneficiaries (10)'!$B25,Logs!$A$2:$A$500,0)),"")</f>
        <v>Mfakadolo</v>
      </c>
      <c r="E25" s="108" t="str">
        <f>IFERROR(INDEX(Logs!$D$2:$D$500,MATCH('Beneficiaries (10)'!$B25,Logs!$A$2:$A$500,0)),"")</f>
        <v>8103076236086</v>
      </c>
      <c r="F25" s="73" t="s">
        <v>761</v>
      </c>
      <c r="G25" s="101" t="str">
        <f t="shared" si="0"/>
        <v>M</v>
      </c>
      <c r="H25" s="72" t="s">
        <v>761</v>
      </c>
      <c r="I25" s="72" t="s">
        <v>762</v>
      </c>
      <c r="J25" s="111" t="str">
        <f>IFERROR(INDEX(Logs!$E$2:$E$500,MATCH('Beneficiaries (10)'!$B25,Logs!$A$2:$A$500,0)),"")</f>
        <v>03/04/2023</v>
      </c>
      <c r="K25" s="111" t="str">
        <f>IFERROR(INDEX(Logs!$F$2:$F$500,MATCH('Beneficiaries (10)'!$B25,Logs!$A$2:$A$500,0)),"")</f>
        <v>31/03/2024</v>
      </c>
      <c r="L25" s="111">
        <f>IFERROR(INDEX(Logs!$G$2:$G$500,MATCH('Beneficiaries (10)'!$B25,Logs!$A$2:$A$500,0)),0)</f>
        <v>17</v>
      </c>
      <c r="M25" s="72">
        <v>0</v>
      </c>
      <c r="N25" s="101">
        <f t="shared" si="3"/>
        <v>17</v>
      </c>
      <c r="O25" s="102">
        <f>IFERROR(INDEX(Logs!$H$2:$H$500,MATCH('Beneficiaries (10)'!$B25,Logs!$A$2:$A$500,0)),)</f>
        <v>204.16</v>
      </c>
      <c r="P25" s="103">
        <f t="shared" si="2"/>
        <v>3470.72</v>
      </c>
      <c r="Q25" s="95"/>
    </row>
    <row r="26" spans="1:18" x14ac:dyDescent="0.2">
      <c r="A26" s="100" t="str">
        <f t="shared" si="1"/>
        <v/>
      </c>
      <c r="B26" s="72">
        <v>197</v>
      </c>
      <c r="C26" s="110" t="str">
        <f>IFERROR(INDEX(Logs!$B$2:$B$500,MATCH('Beneficiaries (10)'!$B26,Logs!$A$2:$A$500,0)),"")</f>
        <v>Siphenkosi</v>
      </c>
      <c r="D26" s="107" t="str">
        <f>IFERROR(INDEX(Logs!$C$2:$C$500,MATCH('Beneficiaries (10)'!$B26,Logs!$A$2:$A$500,0)),"")</f>
        <v>Magudumana</v>
      </c>
      <c r="E26" s="108" t="str">
        <f>IFERROR(INDEX(Logs!$D$2:$D$500,MATCH('Beneficiaries (10)'!$B26,Logs!$A$2:$A$500,0)),"")</f>
        <v>9302116121089</v>
      </c>
      <c r="F26" s="73" t="s">
        <v>761</v>
      </c>
      <c r="G26" s="101" t="str">
        <f t="shared" si="0"/>
        <v>M</v>
      </c>
      <c r="H26" s="72" t="s">
        <v>761</v>
      </c>
      <c r="I26" s="72" t="s">
        <v>762</v>
      </c>
      <c r="J26" s="111" t="str">
        <f>IFERROR(INDEX(Logs!$E$2:$E$500,MATCH('Beneficiaries (10)'!$B26,Logs!$A$2:$A$500,0)),"")</f>
        <v>03/04/2023</v>
      </c>
      <c r="K26" s="111" t="str">
        <f>IFERROR(INDEX(Logs!$F$2:$F$500,MATCH('Beneficiaries (10)'!$B26,Logs!$A$2:$A$500,0)),"")</f>
        <v>31/03/2024</v>
      </c>
      <c r="L26" s="111">
        <f>IFERROR(INDEX(Logs!$G$2:$G$500,MATCH('Beneficiaries (10)'!$B26,Logs!$A$2:$A$500,0)),0)</f>
        <v>17</v>
      </c>
      <c r="M26" s="72">
        <v>0</v>
      </c>
      <c r="N26" s="101">
        <f t="shared" si="3"/>
        <v>17</v>
      </c>
      <c r="O26" s="102">
        <f>IFERROR(INDEX(Logs!$H$2:$H$500,MATCH('Beneficiaries (10)'!$B26,Logs!$A$2:$A$500,0)),)</f>
        <v>204.16</v>
      </c>
      <c r="P26" s="103">
        <f t="shared" si="2"/>
        <v>3470.72</v>
      </c>
      <c r="Q26" s="95"/>
    </row>
    <row r="27" spans="1:18" x14ac:dyDescent="0.2">
      <c r="A27" s="100" t="str">
        <f t="shared" si="1"/>
        <v/>
      </c>
      <c r="B27" s="72">
        <v>198</v>
      </c>
      <c r="C27" s="110" t="str">
        <f>IFERROR(INDEX(Logs!$B$2:$B$500,MATCH('Beneficiaries (10)'!$B27,Logs!$A$2:$A$500,0)),"")</f>
        <v>Silvia</v>
      </c>
      <c r="D27" s="107" t="str">
        <f>IFERROR(INDEX(Logs!$C$2:$C$500,MATCH('Beneficiaries (10)'!$B27,Logs!$A$2:$A$500,0)),"")</f>
        <v>Jenkins</v>
      </c>
      <c r="E27" s="108" t="str">
        <f>IFERROR(INDEX(Logs!$D$2:$D$500,MATCH('Beneficiaries (10)'!$B27,Logs!$A$2:$A$500,0)),"")</f>
        <v>7207300323080</v>
      </c>
      <c r="F27" s="73" t="s">
        <v>761</v>
      </c>
      <c r="G27" s="101" t="str">
        <f t="shared" si="0"/>
        <v>F</v>
      </c>
      <c r="H27" s="72" t="s">
        <v>761</v>
      </c>
      <c r="I27" s="72" t="s">
        <v>762</v>
      </c>
      <c r="J27" s="111" t="str">
        <f>IFERROR(INDEX(Logs!$E$2:$E$500,MATCH('Beneficiaries (10)'!$B27,Logs!$A$2:$A$500,0)),"")</f>
        <v>01/05/2023</v>
      </c>
      <c r="K27" s="111" t="str">
        <f>IFERROR(INDEX(Logs!$F$2:$F$500,MATCH('Beneficiaries (10)'!$B27,Logs!$A$2:$A$500,0)),"")</f>
        <v>30/04/2024</v>
      </c>
      <c r="L27" s="111">
        <f>IFERROR(INDEX(Logs!$G$2:$G$500,MATCH('Beneficiaries (10)'!$B27,Logs!$A$2:$A$500,0)),0)</f>
        <v>17</v>
      </c>
      <c r="M27" s="72">
        <v>0</v>
      </c>
      <c r="N27" s="101">
        <f t="shared" si="3"/>
        <v>17</v>
      </c>
      <c r="O27" s="102">
        <f>IFERROR(INDEX(Logs!$H$2:$H$500,MATCH('Beneficiaries (10)'!$B27,Logs!$A$2:$A$500,0)),)</f>
        <v>204.16</v>
      </c>
      <c r="P27" s="103">
        <f t="shared" si="2"/>
        <v>3470.72</v>
      </c>
      <c r="Q27" s="95"/>
    </row>
    <row r="28" spans="1:18" x14ac:dyDescent="0.2">
      <c r="A28" s="100" t="str">
        <f t="shared" si="1"/>
        <v/>
      </c>
      <c r="B28" s="72">
        <v>199</v>
      </c>
      <c r="C28" s="110" t="str">
        <f>IFERROR(INDEX(Logs!$B$2:$B$500,MATCH('Beneficiaries (10)'!$B28,Logs!$A$2:$A$500,0)),"")</f>
        <v>Anthony</v>
      </c>
      <c r="D28" s="107" t="str">
        <f>IFERROR(INDEX(Logs!$C$2:$C$500,MATCH('Beneficiaries (10)'!$B28,Logs!$A$2:$A$500,0)),"")</f>
        <v>Rich</v>
      </c>
      <c r="E28" s="108" t="str">
        <f>IFERROR(INDEX(Logs!$D$2:$D$500,MATCH('Beneficiaries (10)'!$B28,Logs!$A$2:$A$500,0)),"")</f>
        <v>7809035210084</v>
      </c>
      <c r="F28" s="73" t="s">
        <v>761</v>
      </c>
      <c r="G28" s="101" t="str">
        <f t="shared" si="0"/>
        <v>M</v>
      </c>
      <c r="H28" s="72" t="s">
        <v>761</v>
      </c>
      <c r="I28" s="72" t="s">
        <v>762</v>
      </c>
      <c r="J28" s="111" t="str">
        <f>IFERROR(INDEX(Logs!$E$2:$E$500,MATCH('Beneficiaries (10)'!$B28,Logs!$A$2:$A$500,0)),"")</f>
        <v>01/05/2023</v>
      </c>
      <c r="K28" s="111" t="str">
        <f>IFERROR(INDEX(Logs!$F$2:$F$500,MATCH('Beneficiaries (10)'!$B28,Logs!$A$2:$A$500,0)),"")</f>
        <v>30/04/2024</v>
      </c>
      <c r="L28" s="111">
        <f>IFERROR(INDEX(Logs!$G$2:$G$500,MATCH('Beneficiaries (10)'!$B28,Logs!$A$2:$A$500,0)),0)</f>
        <v>17</v>
      </c>
      <c r="M28" s="72">
        <v>0</v>
      </c>
      <c r="N28" s="101">
        <f t="shared" si="3"/>
        <v>17</v>
      </c>
      <c r="O28" s="102">
        <f>IFERROR(INDEX(Logs!$H$2:$H$500,MATCH('Beneficiaries (10)'!$B28,Logs!$A$2:$A$500,0)),)</f>
        <v>204.16</v>
      </c>
      <c r="P28" s="103">
        <f t="shared" si="2"/>
        <v>3470.72</v>
      </c>
      <c r="Q28" s="95"/>
    </row>
    <row r="29" spans="1:18" x14ac:dyDescent="0.2">
      <c r="A29" s="100" t="str">
        <f t="shared" si="1"/>
        <v/>
      </c>
      <c r="B29" s="72">
        <v>200</v>
      </c>
      <c r="C29" s="110" t="str">
        <f>IFERROR(INDEX(Logs!$B$2:$B$500,MATCH('Beneficiaries (10)'!$B29,Logs!$A$2:$A$500,0)),"")</f>
        <v>Cleo</v>
      </c>
      <c r="D29" s="110" t="str">
        <f>IFERROR(INDEX(Logs!$C$2:$C$500,MATCH('Beneficiaries (10)'!$B29,Logs!$A$2:$A$500,0)),"")</f>
        <v>Vogel</v>
      </c>
      <c r="E29" s="108" t="str">
        <f>IFERROR(INDEX(Logs!$D$2:$D$500,MATCH('Beneficiaries (10)'!$B29,Logs!$A$2:$A$500,0)),"")</f>
        <v>9809080165082</v>
      </c>
      <c r="F29" s="73" t="s">
        <v>761</v>
      </c>
      <c r="G29" s="101" t="str">
        <f t="shared" si="0"/>
        <v>F</v>
      </c>
      <c r="H29" s="72" t="s">
        <v>761</v>
      </c>
      <c r="I29" s="72" t="s">
        <v>762</v>
      </c>
      <c r="J29" s="111" t="str">
        <f>IFERROR(INDEX(Logs!$E$2:$E$500,MATCH('Beneficiaries (10)'!$B29,Logs!$A$2:$A$500,0)),"")</f>
        <v>01/05/2023</v>
      </c>
      <c r="K29" s="111" t="str">
        <f>IFERROR(INDEX(Logs!$F$2:$F$500,MATCH('Beneficiaries (10)'!$B29,Logs!$A$2:$A$500,0)),"")</f>
        <v>30/04/2024</v>
      </c>
      <c r="L29" s="111">
        <f>IFERROR(INDEX(Logs!$G$2:$G$500,MATCH('Beneficiaries (10)'!$B29,Logs!$A$2:$A$500,0)),0)</f>
        <v>17</v>
      </c>
      <c r="M29" s="72">
        <v>0</v>
      </c>
      <c r="N29" s="101">
        <f t="shared" si="3"/>
        <v>17</v>
      </c>
      <c r="O29" s="102">
        <f>IFERROR(INDEX(Logs!$H$2:$H$500,MATCH('Beneficiaries (10)'!$B29,Logs!$A$2:$A$500,0)),)</f>
        <v>204.16</v>
      </c>
      <c r="P29" s="103">
        <f t="shared" si="2"/>
        <v>3470.72</v>
      </c>
      <c r="Q29" s="95"/>
    </row>
    <row r="30" spans="1:18" x14ac:dyDescent="0.2"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104">
        <f>SUM(L10:L29)</f>
        <v>415</v>
      </c>
      <c r="M30" s="104">
        <f>SUM(M10:M29)</f>
        <v>0</v>
      </c>
      <c r="N30" s="104">
        <f>SUM(N10:N29)</f>
        <v>415</v>
      </c>
      <c r="O30" s="105">
        <f>SUM(O10:O29)</f>
        <v>4097.119999999999</v>
      </c>
      <c r="P30" s="106">
        <f>SUM(P10:P29)</f>
        <v>85032.639999999985</v>
      </c>
      <c r="Q30" s="97"/>
    </row>
    <row r="31" spans="1:18" ht="27" customHeight="1" x14ac:dyDescent="0.2">
      <c r="B31" s="217" t="s">
        <v>98</v>
      </c>
      <c r="C31" s="217"/>
      <c r="D31" s="98" t="s">
        <v>97</v>
      </c>
      <c r="E31" s="218" t="str">
        <f>Project!$G$30</f>
        <v>Benjamin Milandou-Loubeka</v>
      </c>
      <c r="F31" s="218"/>
      <c r="G31" s="218"/>
      <c r="H31" s="219" t="s">
        <v>101</v>
      </c>
      <c r="I31" s="220"/>
      <c r="J31" s="220"/>
      <c r="K31" s="220"/>
      <c r="L31" s="220"/>
      <c r="M31" s="220"/>
      <c r="N31" s="220"/>
      <c r="O31" s="220"/>
      <c r="P31" s="220"/>
      <c r="Q31" s="87"/>
    </row>
    <row r="32" spans="1:18" ht="27" customHeight="1" x14ac:dyDescent="0.2">
      <c r="B32" s="217"/>
      <c r="C32" s="217"/>
      <c r="D32" s="98" t="s">
        <v>100</v>
      </c>
      <c r="E32" s="221">
        <f>Project!$AN$1</f>
        <v>45199</v>
      </c>
      <c r="F32" s="221"/>
      <c r="G32" s="221"/>
      <c r="H32" s="219"/>
      <c r="I32" s="220"/>
      <c r="J32" s="220"/>
      <c r="K32" s="220"/>
      <c r="L32" s="220"/>
      <c r="M32" s="220"/>
      <c r="N32" s="220"/>
      <c r="O32" s="220"/>
      <c r="P32" s="220"/>
      <c r="Q32" s="87"/>
    </row>
    <row r="33" spans="2:17" ht="14.25" customHeight="1" x14ac:dyDescent="0.2">
      <c r="B33" s="88"/>
      <c r="C33" s="88"/>
      <c r="D33" s="99"/>
      <c r="E33" s="87"/>
      <c r="F33" s="87"/>
      <c r="G33" s="87"/>
      <c r="H33" s="81"/>
      <c r="I33" s="87"/>
      <c r="J33" s="87"/>
      <c r="K33" s="87"/>
      <c r="L33" s="87"/>
      <c r="M33" s="87"/>
      <c r="N33" s="87"/>
      <c r="O33" s="87"/>
      <c r="P33" s="87"/>
      <c r="Q33" s="87"/>
    </row>
    <row r="34" spans="2:17" ht="27" customHeight="1" x14ac:dyDescent="0.2">
      <c r="B34" s="217" t="s">
        <v>99</v>
      </c>
      <c r="C34" s="217"/>
      <c r="D34" s="98" t="s">
        <v>97</v>
      </c>
      <c r="E34" s="220"/>
      <c r="F34" s="220"/>
      <c r="G34" s="220"/>
      <c r="H34" s="219" t="s">
        <v>101</v>
      </c>
      <c r="I34" s="220"/>
      <c r="J34" s="220"/>
      <c r="K34" s="220"/>
      <c r="L34" s="220"/>
      <c r="M34" s="220"/>
      <c r="N34" s="220"/>
      <c r="O34" s="220"/>
      <c r="P34" s="220"/>
      <c r="Q34" s="87"/>
    </row>
    <row r="35" spans="2:17" ht="27" customHeight="1" x14ac:dyDescent="0.2">
      <c r="B35" s="217"/>
      <c r="C35" s="217"/>
      <c r="D35" s="98" t="s">
        <v>100</v>
      </c>
      <c r="E35" s="220"/>
      <c r="F35" s="220"/>
      <c r="G35" s="220"/>
      <c r="H35" s="219"/>
      <c r="I35" s="220"/>
      <c r="J35" s="220"/>
      <c r="K35" s="220"/>
      <c r="L35" s="220"/>
      <c r="M35" s="220"/>
      <c r="N35" s="220"/>
      <c r="O35" s="220"/>
      <c r="P35" s="220"/>
      <c r="Q35" s="87"/>
    </row>
    <row r="74" spans="2:2" x14ac:dyDescent="0.2">
      <c r="B74" s="87"/>
    </row>
  </sheetData>
  <sheetProtection algorithmName="SHA-512" hashValue="9SKOgpkfiJXqbe8xaG8oHbNVeU/m7MLbu5cPLEp+beQzAVG/O0zcCKKPkur4BWON+huaYvvbEj+r2s8hP0fB2w==" saltValue="rN9/KHVG1qH7p8K4trhWeg==" spinCount="100000" sheet="1" selectLockedCells="1"/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conditionalFormatting sqref="C10:C21">
    <cfRule type="uniqueValues" dxfId="53" priority="9"/>
  </conditionalFormatting>
  <conditionalFormatting sqref="D10:D20">
    <cfRule type="uniqueValues" dxfId="52" priority="8"/>
  </conditionalFormatting>
  <conditionalFormatting sqref="D21:D28">
    <cfRule type="uniqueValues" dxfId="51" priority="7"/>
  </conditionalFormatting>
  <conditionalFormatting sqref="F10:F29">
    <cfRule type="expression" dxfId="50" priority="6">
      <formula>$C10=""</formula>
    </cfRule>
  </conditionalFormatting>
  <conditionalFormatting sqref="H10:I29">
    <cfRule type="expression" dxfId="49" priority="5">
      <formula>$C10=""</formula>
    </cfRule>
  </conditionalFormatting>
  <conditionalFormatting sqref="B10:B29">
    <cfRule type="expression" dxfId="48" priority="4">
      <formula>$C10=""</formula>
    </cfRule>
  </conditionalFormatting>
  <conditionalFormatting sqref="L10:L29">
    <cfRule type="cellIs" dxfId="47" priority="3" operator="equal">
      <formula>0</formula>
    </cfRule>
  </conditionalFormatting>
  <conditionalFormatting sqref="M10:N29">
    <cfRule type="expression" dxfId="46" priority="2">
      <formula>$C10=""</formula>
    </cfRule>
  </conditionalFormatting>
  <conditionalFormatting sqref="O10:P29">
    <cfRule type="expression" dxfId="45" priority="1">
      <formula>$C10=""</formula>
    </cfRule>
  </conditionalFormatting>
  <dataValidations count="1">
    <dataValidation allowBlank="1" showInputMessage="1" showErrorMessage="1" promptTitle="Month" sqref="I6" xr:uid="{457C0AA3-97C1-427A-9E5D-98B6BA19BA14}"/>
  </dataValidations>
  <pageMargins left="0.23622047244094491" right="0.23622047244094491" top="0.74803149606299213" bottom="0.74803149606299213" header="0.31496062992125984" footer="0.31496062992125984"/>
  <pageSetup paperSize="9" scale="86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41588-A50D-48DA-B999-04DD2812A2CF}">
  <sheetPr codeName="Sheet25">
    <pageSetUpPr fitToPage="1"/>
  </sheetPr>
  <dimension ref="A1:R74"/>
  <sheetViews>
    <sheetView showGridLines="0" zoomScaleNormal="100" workbookViewId="0">
      <selection activeCell="B5" sqref="B5:C6"/>
    </sheetView>
  </sheetViews>
  <sheetFormatPr defaultColWidth="8.85546875" defaultRowHeight="12.75" x14ac:dyDescent="0.2"/>
  <cols>
    <col min="1" max="1" width="20.7109375" style="76" customWidth="1"/>
    <col min="2" max="2" width="4.42578125" style="80" customWidth="1"/>
    <col min="3" max="5" width="24.42578125" style="80" customWidth="1"/>
    <col min="6" max="6" width="10.140625" style="80" customWidth="1"/>
    <col min="7" max="9" width="8.85546875" style="80"/>
    <col min="10" max="11" width="10.140625" style="80" bestFit="1" customWidth="1"/>
    <col min="12" max="15" width="13.7109375" style="80" customWidth="1"/>
    <col min="16" max="17" width="14.5703125" style="80" customWidth="1"/>
    <col min="18" max="18" width="8.85546875" style="150"/>
    <col min="19" max="16384" width="8.85546875" style="80"/>
  </cols>
  <sheetData>
    <row r="1" spans="1:18" ht="15.75" x14ac:dyDescent="0.25">
      <c r="B1" s="77" t="s">
        <v>44</v>
      </c>
      <c r="C1" s="78"/>
      <c r="D1" s="78"/>
      <c r="E1" s="79" t="s">
        <v>1</v>
      </c>
      <c r="G1" s="78"/>
      <c r="H1" s="78"/>
      <c r="I1" s="78"/>
      <c r="R1" s="114">
        <f>IF(Beneficiaries!$P$30&gt;0,1,"")</f>
        <v>1</v>
      </c>
    </row>
    <row r="2" spans="1:18" ht="15.75" x14ac:dyDescent="0.25"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114">
        <f>IF('Beneficiaries (2)'!$P$30&gt;0,1,"")</f>
        <v>1</v>
      </c>
    </row>
    <row r="3" spans="1:18" x14ac:dyDescent="0.2">
      <c r="B3" s="210" t="s">
        <v>28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81"/>
      <c r="R3" s="114">
        <f>IF('Beneficiaries (3)'!$P$30&gt;0,1,"")</f>
        <v>1</v>
      </c>
    </row>
    <row r="4" spans="1:18" x14ac:dyDescent="0.2">
      <c r="C4" s="77"/>
      <c r="D4" s="77"/>
      <c r="E4" s="77"/>
      <c r="F4" s="77"/>
      <c r="G4" s="77"/>
      <c r="R4" s="114">
        <f>IF('Beneficiaries (4)'!$P$30&gt;0,1,"")</f>
        <v>1</v>
      </c>
    </row>
    <row r="5" spans="1:18" ht="12.75" customHeight="1" x14ac:dyDescent="0.2">
      <c r="B5" s="211" t="s">
        <v>12</v>
      </c>
      <c r="C5" s="212"/>
      <c r="D5" s="215" t="str">
        <f>Project!$Z$25</f>
        <v>WSDS/24/111i</v>
      </c>
      <c r="E5" s="215"/>
      <c r="F5" s="82"/>
      <c r="H5" s="83" t="s">
        <v>80</v>
      </c>
      <c r="I5" s="83" t="s">
        <v>81</v>
      </c>
      <c r="J5" s="77"/>
      <c r="K5" s="216" t="s">
        <v>78</v>
      </c>
      <c r="L5" s="216"/>
      <c r="M5" s="216"/>
      <c r="N5" s="85"/>
      <c r="O5" s="85"/>
      <c r="P5" s="77"/>
      <c r="Q5" s="77"/>
      <c r="R5" s="114">
        <f>IF('Beneficiaries (5)'!$P$30&gt;0,1,"")</f>
        <v>1</v>
      </c>
    </row>
    <row r="6" spans="1:18" x14ac:dyDescent="0.2">
      <c r="B6" s="213"/>
      <c r="C6" s="214"/>
      <c r="D6" s="215"/>
      <c r="E6" s="215"/>
      <c r="F6" s="82"/>
      <c r="H6" s="112" t="str">
        <f>TEXT(Project!$AN$1,"YYYY")</f>
        <v>2023</v>
      </c>
      <c r="I6" s="112" t="str">
        <f>TEXT(Project!$AN$1,"MMMM")</f>
        <v>September</v>
      </c>
      <c r="J6" s="86"/>
      <c r="K6" s="57">
        <v>1</v>
      </c>
      <c r="L6" s="84" t="s">
        <v>79</v>
      </c>
      <c r="M6" s="113">
        <f>IF(K6&gt;0,COUNT(R1:R20),"")</f>
        <v>14</v>
      </c>
      <c r="N6" s="85"/>
      <c r="O6" s="85"/>
      <c r="P6" s="87"/>
      <c r="Q6" s="87"/>
      <c r="R6" s="114">
        <f>IF('Beneficiaries (6)'!$P$30&gt;0,1,"")</f>
        <v>1</v>
      </c>
    </row>
    <row r="7" spans="1:18" x14ac:dyDescent="0.2">
      <c r="B7" s="88"/>
      <c r="C7" s="88"/>
      <c r="D7" s="88"/>
      <c r="E7" s="87"/>
      <c r="F7" s="87"/>
      <c r="H7" s="86"/>
      <c r="I7" s="86"/>
      <c r="J7" s="86"/>
      <c r="K7" s="87"/>
      <c r="L7" s="85"/>
      <c r="M7" s="85"/>
      <c r="N7" s="85"/>
      <c r="O7" s="85"/>
      <c r="P7" s="87"/>
      <c r="Q7" s="87"/>
      <c r="R7" s="114">
        <f>IF('Beneficiaries (7)'!$P$30&gt;0,1,"")</f>
        <v>1</v>
      </c>
    </row>
    <row r="8" spans="1:18" x14ac:dyDescent="0.2">
      <c r="B8" s="89"/>
      <c r="C8" s="90" t="s">
        <v>34</v>
      </c>
      <c r="D8" s="90" t="s">
        <v>34</v>
      </c>
      <c r="E8" s="90" t="s">
        <v>34</v>
      </c>
      <c r="F8" s="90" t="s">
        <v>35</v>
      </c>
      <c r="G8" s="89"/>
      <c r="H8" s="89"/>
      <c r="I8" s="90" t="s">
        <v>36</v>
      </c>
      <c r="J8" s="89"/>
      <c r="K8" s="90" t="s">
        <v>37</v>
      </c>
      <c r="L8" s="90" t="s">
        <v>38</v>
      </c>
      <c r="M8" s="90" t="s">
        <v>42</v>
      </c>
      <c r="N8" s="90"/>
      <c r="O8" s="90" t="s">
        <v>104</v>
      </c>
      <c r="P8" s="90"/>
      <c r="Q8" s="91"/>
      <c r="R8" s="114">
        <f>IF('Beneficiaries (8)'!$P$30&gt;0,1,"")</f>
        <v>1</v>
      </c>
    </row>
    <row r="9" spans="1:18" ht="45" x14ac:dyDescent="0.2">
      <c r="B9" s="92" t="s">
        <v>29</v>
      </c>
      <c r="C9" s="92" t="s">
        <v>30</v>
      </c>
      <c r="D9" s="92" t="s">
        <v>31</v>
      </c>
      <c r="E9" s="92" t="s">
        <v>32</v>
      </c>
      <c r="F9" s="93" t="s">
        <v>96</v>
      </c>
      <c r="G9" s="93" t="s">
        <v>33</v>
      </c>
      <c r="H9" s="93" t="s">
        <v>76</v>
      </c>
      <c r="I9" s="93" t="s">
        <v>77</v>
      </c>
      <c r="J9" s="93" t="s">
        <v>95</v>
      </c>
      <c r="K9" s="93" t="s">
        <v>94</v>
      </c>
      <c r="L9" s="93" t="s">
        <v>41</v>
      </c>
      <c r="M9" s="93" t="s">
        <v>103</v>
      </c>
      <c r="N9" s="93" t="s">
        <v>116</v>
      </c>
      <c r="O9" s="93" t="s">
        <v>102</v>
      </c>
      <c r="P9" s="93" t="s">
        <v>117</v>
      </c>
      <c r="Q9" s="94"/>
      <c r="R9" s="114">
        <f>IF('Beneficiaries (9)'!$P$30&gt;0,1,"")</f>
        <v>1</v>
      </c>
    </row>
    <row r="10" spans="1:18" x14ac:dyDescent="0.2">
      <c r="A10" s="100" t="str">
        <f>ID_Valid(E10)</f>
        <v/>
      </c>
      <c r="B10" s="72">
        <v>201</v>
      </c>
      <c r="C10" s="107" t="str">
        <f>IFERROR(INDEX(Logs!$B$2:$B$500,MATCH('Beneficiaries (11)'!$B10,Logs!$A$2:$A$500,0)),"")</f>
        <v>Mkhululi</v>
      </c>
      <c r="D10" s="107" t="str">
        <f>IFERROR(INDEX(Logs!$C$2:$C$500,MATCH('Beneficiaries (11)'!$B10,Logs!$A$2:$A$500,0)),"")</f>
        <v>Rorwana</v>
      </c>
      <c r="E10" s="108" t="str">
        <f>IFERROR(INDEX(Logs!$D$2:$D$500,MATCH('Beneficiaries (11)'!$B10,Logs!$A$2:$A$500,0)),"")</f>
        <v>8701106314086</v>
      </c>
      <c r="F10" s="73" t="s">
        <v>761</v>
      </c>
      <c r="G10" s="101" t="str">
        <f t="shared" ref="G10:G29" si="0">TheGender(E10)</f>
        <v>M</v>
      </c>
      <c r="H10" s="72" t="s">
        <v>761</v>
      </c>
      <c r="I10" s="74" t="s">
        <v>762</v>
      </c>
      <c r="J10" s="110" t="str">
        <f>IFERROR(INDEX(Logs!$E$2:$E$500,MATCH('Beneficiaries (11)'!$B10,Logs!$A$2:$A$500,0)),"")</f>
        <v>01/05/2023</v>
      </c>
      <c r="K10" s="110" t="str">
        <f>IFERROR(INDEX(Logs!$F$2:$F$500,MATCH('Beneficiaries (11)'!$B10,Logs!$A$2:$A$500,0)),"")</f>
        <v>30/04/2024</v>
      </c>
      <c r="L10" s="111">
        <f>IFERROR(INDEX(Logs!$G$2:$G$500,MATCH('Beneficiaries (11)'!$B10,Logs!$A$2:$A$500,0)),0)</f>
        <v>22</v>
      </c>
      <c r="M10" s="72">
        <v>0</v>
      </c>
      <c r="N10" s="101">
        <f>M10+L10</f>
        <v>22</v>
      </c>
      <c r="O10" s="102">
        <f>IFERROR(INDEX(Logs!$H$2:$H$500,MATCH('Beneficiaries (11)'!$B10,Logs!$A$2:$A$500,0)),)</f>
        <v>204.16</v>
      </c>
      <c r="P10" s="103">
        <f>IFERROR(N10*O10,0)</f>
        <v>4491.5199999999995</v>
      </c>
      <c r="Q10" s="95"/>
      <c r="R10" s="114">
        <f>IF('Beneficiaries (10)'!$P$30&gt;0,1,"")</f>
        <v>1</v>
      </c>
    </row>
    <row r="11" spans="1:18" x14ac:dyDescent="0.2">
      <c r="A11" s="100" t="str">
        <f t="shared" ref="A11:A29" si="1">ID_Valid(E11)</f>
        <v/>
      </c>
      <c r="B11" s="72">
        <v>202</v>
      </c>
      <c r="C11" s="107" t="str">
        <f>IFERROR(INDEX(Logs!$B$2:$B$500,MATCH('Beneficiaries (11)'!$B11,Logs!$A$2:$A$500,0)),"")</f>
        <v>Nomusa</v>
      </c>
      <c r="D11" s="107" t="str">
        <f>IFERROR(INDEX(Logs!$C$2:$C$500,MATCH('Beneficiaries (11)'!$B11,Logs!$A$2:$A$500,0)),"")</f>
        <v>Taleni</v>
      </c>
      <c r="E11" s="108" t="str">
        <f>IFERROR(INDEX(Logs!$D$2:$D$500,MATCH('Beneficiaries (11)'!$B11,Logs!$A$2:$A$500,0)),"")</f>
        <v>9108140260086</v>
      </c>
      <c r="F11" s="73" t="s">
        <v>761</v>
      </c>
      <c r="G11" s="101" t="str">
        <f t="shared" si="0"/>
        <v>F</v>
      </c>
      <c r="H11" s="72" t="s">
        <v>761</v>
      </c>
      <c r="I11" s="72" t="s">
        <v>762</v>
      </c>
      <c r="J11" s="111" t="str">
        <f>IFERROR(INDEX(Logs!$E$2:$E$500,MATCH('Beneficiaries (11)'!$B11,Logs!$A$2:$A$500,0)),"")</f>
        <v>01/05/2023</v>
      </c>
      <c r="K11" s="111" t="str">
        <f>IFERROR(INDEX(Logs!$F$2:$F$500,MATCH('Beneficiaries (11)'!$B11,Logs!$A$2:$A$500,0)),"")</f>
        <v>30/04/2024</v>
      </c>
      <c r="L11" s="111">
        <f>IFERROR(INDEX(Logs!$G$2:$G$500,MATCH('Beneficiaries (11)'!$B11,Logs!$A$2:$A$500,0)),0)</f>
        <v>22</v>
      </c>
      <c r="M11" s="72">
        <v>0</v>
      </c>
      <c r="N11" s="101">
        <f>L11+M11</f>
        <v>22</v>
      </c>
      <c r="O11" s="102">
        <f>IFERROR(INDEX(Logs!$H$2:$H$500,MATCH('Beneficiaries (11)'!$B11,Logs!$A$2:$A$500,0)),)</f>
        <v>204.16</v>
      </c>
      <c r="P11" s="103">
        <f t="shared" ref="P11:P29" si="2">IFERROR(N11*O11,0)</f>
        <v>4491.5199999999995</v>
      </c>
      <c r="Q11" s="95"/>
      <c r="R11" s="114">
        <f>IF('Beneficiaries (11)'!$P$30&gt;0,1,"")</f>
        <v>1</v>
      </c>
    </row>
    <row r="12" spans="1:18" x14ac:dyDescent="0.2">
      <c r="A12" s="100" t="str">
        <f t="shared" si="1"/>
        <v/>
      </c>
      <c r="B12" s="72">
        <v>203</v>
      </c>
      <c r="C12" s="107" t="str">
        <f>IFERROR(INDEX(Logs!$B$2:$B$500,MATCH('Beneficiaries (11)'!$B12,Logs!$A$2:$A$500,0)),"")</f>
        <v>Sanelise</v>
      </c>
      <c r="D12" s="107" t="str">
        <f>IFERROR(INDEX(Logs!$C$2:$C$500,MATCH('Beneficiaries (11)'!$B12,Logs!$A$2:$A$500,0)),"")</f>
        <v>Maqhina</v>
      </c>
      <c r="E12" s="108" t="str">
        <f>IFERROR(INDEX(Logs!$D$2:$D$500,MATCH('Beneficiaries (11)'!$B12,Logs!$A$2:$A$500,0)),"")</f>
        <v>9906135448081</v>
      </c>
      <c r="F12" s="73" t="s">
        <v>761</v>
      </c>
      <c r="G12" s="101" t="str">
        <f t="shared" si="0"/>
        <v>M</v>
      </c>
      <c r="H12" s="72" t="s">
        <v>761</v>
      </c>
      <c r="I12" s="72" t="s">
        <v>762</v>
      </c>
      <c r="J12" s="111" t="str">
        <f>IFERROR(INDEX(Logs!$E$2:$E$500,MATCH('Beneficiaries (11)'!$B12,Logs!$A$2:$A$500,0)),"")</f>
        <v>01/05/2023</v>
      </c>
      <c r="K12" s="111" t="str">
        <f>IFERROR(INDEX(Logs!$F$2:$F$500,MATCH('Beneficiaries (11)'!$B12,Logs!$A$2:$A$500,0)),"")</f>
        <v>30/04/2024</v>
      </c>
      <c r="L12" s="111">
        <f>IFERROR(INDEX(Logs!$G$2:$G$500,MATCH('Beneficiaries (11)'!$B12,Logs!$A$2:$A$500,0)),0)</f>
        <v>22</v>
      </c>
      <c r="M12" s="72">
        <v>0</v>
      </c>
      <c r="N12" s="101">
        <f t="shared" ref="N12:N29" si="3">L12+M12</f>
        <v>22</v>
      </c>
      <c r="O12" s="102">
        <f>IFERROR(INDEX(Logs!$H$2:$H$500,MATCH('Beneficiaries (11)'!$B12,Logs!$A$2:$A$500,0)),)</f>
        <v>204.16</v>
      </c>
      <c r="P12" s="103">
        <f t="shared" si="2"/>
        <v>4491.5199999999995</v>
      </c>
      <c r="Q12" s="95"/>
      <c r="R12" s="114">
        <f>IF('Beneficiaries (12)'!$P$30&gt;0,1,"")</f>
        <v>1</v>
      </c>
    </row>
    <row r="13" spans="1:18" x14ac:dyDescent="0.2">
      <c r="A13" s="100" t="str">
        <f t="shared" si="1"/>
        <v/>
      </c>
      <c r="B13" s="72">
        <v>204</v>
      </c>
      <c r="C13" s="107" t="str">
        <f>IFERROR(INDEX(Logs!$B$2:$B$500,MATCH('Beneficiaries (11)'!$B13,Logs!$A$2:$A$500,0)),"")</f>
        <v>Pamela</v>
      </c>
      <c r="D13" s="107" t="str">
        <f>IFERROR(INDEX(Logs!$C$2:$C$500,MATCH('Beneficiaries (11)'!$B13,Logs!$A$2:$A$500,0)),"")</f>
        <v>Van Rooyen</v>
      </c>
      <c r="E13" s="108" t="str">
        <f>IFERROR(INDEX(Logs!$D$2:$D$500,MATCH('Beneficiaries (11)'!$B13,Logs!$A$2:$A$500,0)),"")</f>
        <v>8411241184085</v>
      </c>
      <c r="F13" s="73" t="s">
        <v>761</v>
      </c>
      <c r="G13" s="101" t="str">
        <f t="shared" si="0"/>
        <v>F</v>
      </c>
      <c r="H13" s="72" t="s">
        <v>761</v>
      </c>
      <c r="I13" s="72" t="s">
        <v>762</v>
      </c>
      <c r="J13" s="111" t="str">
        <f>IFERROR(INDEX(Logs!$E$2:$E$500,MATCH('Beneficiaries (11)'!$B13,Logs!$A$2:$A$500,0)),"")</f>
        <v>01/05/2023</v>
      </c>
      <c r="K13" s="111" t="str">
        <f>IFERROR(INDEX(Logs!$F$2:$F$500,MATCH('Beneficiaries (11)'!$B13,Logs!$A$2:$A$500,0)),"")</f>
        <v>30/04/2024</v>
      </c>
      <c r="L13" s="111">
        <f>IFERROR(INDEX(Logs!$G$2:$G$500,MATCH('Beneficiaries (11)'!$B13,Logs!$A$2:$A$500,0)),0)</f>
        <v>22</v>
      </c>
      <c r="M13" s="72">
        <v>0</v>
      </c>
      <c r="N13" s="101">
        <f t="shared" si="3"/>
        <v>22</v>
      </c>
      <c r="O13" s="102">
        <f>IFERROR(INDEX(Logs!$H$2:$H$500,MATCH('Beneficiaries (11)'!$B13,Logs!$A$2:$A$500,0)),)</f>
        <v>204.16</v>
      </c>
      <c r="P13" s="103">
        <f t="shared" si="2"/>
        <v>4491.5199999999995</v>
      </c>
      <c r="Q13" s="95"/>
      <c r="R13" s="114">
        <f>IF('Beneficiaries (13)'!$P$30&gt;0,1,"")</f>
        <v>1</v>
      </c>
    </row>
    <row r="14" spans="1:18" x14ac:dyDescent="0.2">
      <c r="A14" s="100" t="str">
        <f t="shared" si="1"/>
        <v/>
      </c>
      <c r="B14" s="72">
        <v>205</v>
      </c>
      <c r="C14" s="107" t="str">
        <f>IFERROR(INDEX(Logs!$B$2:$B$500,MATCH('Beneficiaries (11)'!$B14,Logs!$A$2:$A$500,0)),"")</f>
        <v>Nompumelelo</v>
      </c>
      <c r="D14" s="107" t="str">
        <f>IFERROR(INDEX(Logs!$C$2:$C$500,MATCH('Beneficiaries (11)'!$B14,Logs!$A$2:$A$500,0)),"")</f>
        <v>Buhlungu</v>
      </c>
      <c r="E14" s="108" t="str">
        <f>IFERROR(INDEX(Logs!$D$2:$D$500,MATCH('Beneficiaries (11)'!$B14,Logs!$A$2:$A$500,0)),"")</f>
        <v>8011180772088</v>
      </c>
      <c r="F14" s="73" t="s">
        <v>761</v>
      </c>
      <c r="G14" s="101" t="str">
        <f t="shared" si="0"/>
        <v>F</v>
      </c>
      <c r="H14" s="72" t="s">
        <v>761</v>
      </c>
      <c r="I14" s="72" t="s">
        <v>762</v>
      </c>
      <c r="J14" s="111" t="str">
        <f>IFERROR(INDEX(Logs!$E$2:$E$500,MATCH('Beneficiaries (11)'!$B14,Logs!$A$2:$A$500,0)),"")</f>
        <v>01/05/2023</v>
      </c>
      <c r="K14" s="111" t="str">
        <f>IFERROR(INDEX(Logs!$F$2:$F$500,MATCH('Beneficiaries (11)'!$B14,Logs!$A$2:$A$500,0)),"")</f>
        <v>30/04/2024</v>
      </c>
      <c r="L14" s="111">
        <f>IFERROR(INDEX(Logs!$G$2:$G$500,MATCH('Beneficiaries (11)'!$B14,Logs!$A$2:$A$500,0)),0)</f>
        <v>22</v>
      </c>
      <c r="M14" s="72">
        <v>0</v>
      </c>
      <c r="N14" s="101">
        <f t="shared" si="3"/>
        <v>22</v>
      </c>
      <c r="O14" s="102">
        <f>IFERROR(INDEX(Logs!$H$2:$H$500,MATCH('Beneficiaries (11)'!$B14,Logs!$A$2:$A$500,0)),)</f>
        <v>218.08</v>
      </c>
      <c r="P14" s="103">
        <f t="shared" si="2"/>
        <v>4797.76</v>
      </c>
      <c r="Q14" s="95"/>
      <c r="R14" s="114">
        <f>IF('Beneficiaries (14)'!$P$30&gt;0,1,"")</f>
        <v>1</v>
      </c>
    </row>
    <row r="15" spans="1:18" x14ac:dyDescent="0.2">
      <c r="A15" s="100" t="str">
        <f t="shared" si="1"/>
        <v/>
      </c>
      <c r="B15" s="72">
        <v>206</v>
      </c>
      <c r="C15" s="107" t="str">
        <f>IFERROR(INDEX(Logs!$B$2:$B$500,MATCH('Beneficiaries (11)'!$B15,Logs!$A$2:$A$500,0)),"")</f>
        <v>Uthunathi</v>
      </c>
      <c r="D15" s="107" t="str">
        <f>IFERROR(INDEX(Logs!$C$2:$C$500,MATCH('Beneficiaries (11)'!$B15,Logs!$A$2:$A$500,0)),"")</f>
        <v>Desemela</v>
      </c>
      <c r="E15" s="108" t="str">
        <f>IFERROR(INDEX(Logs!$D$2:$D$500,MATCH('Beneficiaries (11)'!$B15,Logs!$A$2:$A$500,0)),"")</f>
        <v>0002200210082</v>
      </c>
      <c r="F15" s="73" t="s">
        <v>761</v>
      </c>
      <c r="G15" s="101" t="str">
        <f t="shared" si="0"/>
        <v>F</v>
      </c>
      <c r="H15" s="72" t="s">
        <v>761</v>
      </c>
      <c r="I15" s="72" t="s">
        <v>762</v>
      </c>
      <c r="J15" s="111" t="str">
        <f>IFERROR(INDEX(Logs!$E$2:$E$500,MATCH('Beneficiaries (11)'!$B15,Logs!$A$2:$A$500,0)),"")</f>
        <v>01/05/2023</v>
      </c>
      <c r="K15" s="111" t="str">
        <f>IFERROR(INDEX(Logs!$F$2:$F$500,MATCH('Beneficiaries (11)'!$B15,Logs!$A$2:$A$500,0)),"")</f>
        <v>30/04/2024</v>
      </c>
      <c r="L15" s="111">
        <f>IFERROR(INDEX(Logs!$G$2:$G$500,MATCH('Beneficiaries (11)'!$B15,Logs!$A$2:$A$500,0)),0)</f>
        <v>22</v>
      </c>
      <c r="M15" s="72">
        <v>0</v>
      </c>
      <c r="N15" s="101">
        <f t="shared" si="3"/>
        <v>22</v>
      </c>
      <c r="O15" s="102">
        <f>IFERROR(INDEX(Logs!$H$2:$H$500,MATCH('Beneficiaries (11)'!$B15,Logs!$A$2:$A$500,0)),)</f>
        <v>204.16</v>
      </c>
      <c r="P15" s="103">
        <f t="shared" si="2"/>
        <v>4491.5199999999995</v>
      </c>
      <c r="Q15" s="95"/>
    </row>
    <row r="16" spans="1:18" x14ac:dyDescent="0.2">
      <c r="A16" s="100" t="str">
        <f t="shared" si="1"/>
        <v/>
      </c>
      <c r="B16" s="72">
        <v>207</v>
      </c>
      <c r="C16" s="107" t="str">
        <f>IFERROR(INDEX(Logs!$B$2:$B$500,MATCH('Beneficiaries (11)'!$B16,Logs!$A$2:$A$500,0)),"")</f>
        <v>Mpheleki</v>
      </c>
      <c r="D16" s="107" t="str">
        <f>IFERROR(INDEX(Logs!$C$2:$C$500,MATCH('Beneficiaries (11)'!$B16,Logs!$A$2:$A$500,0)),"")</f>
        <v>Jwayi</v>
      </c>
      <c r="E16" s="108" t="str">
        <f>IFERROR(INDEX(Logs!$D$2:$D$500,MATCH('Beneficiaries (11)'!$B16,Logs!$A$2:$A$500,0)),"")</f>
        <v>7205185679089</v>
      </c>
      <c r="F16" s="73" t="s">
        <v>761</v>
      </c>
      <c r="G16" s="101" t="str">
        <f t="shared" si="0"/>
        <v>M</v>
      </c>
      <c r="H16" s="72" t="s">
        <v>761</v>
      </c>
      <c r="I16" s="72" t="s">
        <v>762</v>
      </c>
      <c r="J16" s="111" t="str">
        <f>IFERROR(INDEX(Logs!$E$2:$E$500,MATCH('Beneficiaries (11)'!$B16,Logs!$A$2:$A$500,0)),"")</f>
        <v>01/05/2023</v>
      </c>
      <c r="K16" s="111" t="str">
        <f>IFERROR(INDEX(Logs!$F$2:$F$500,MATCH('Beneficiaries (11)'!$B16,Logs!$A$2:$A$500,0)),"")</f>
        <v>30/04/2024</v>
      </c>
      <c r="L16" s="111">
        <f>IFERROR(INDEX(Logs!$G$2:$G$500,MATCH('Beneficiaries (11)'!$B16,Logs!$A$2:$A$500,0)),0)</f>
        <v>22</v>
      </c>
      <c r="M16" s="72">
        <v>0</v>
      </c>
      <c r="N16" s="101">
        <f t="shared" si="3"/>
        <v>22</v>
      </c>
      <c r="O16" s="102">
        <f>IFERROR(INDEX(Logs!$H$2:$H$500,MATCH('Beneficiaries (11)'!$B16,Logs!$A$2:$A$500,0)),)</f>
        <v>204.16</v>
      </c>
      <c r="P16" s="103">
        <f t="shared" si="2"/>
        <v>4491.5199999999995</v>
      </c>
      <c r="Q16" s="95"/>
    </row>
    <row r="17" spans="1:17" x14ac:dyDescent="0.2">
      <c r="A17" s="100" t="str">
        <f t="shared" si="1"/>
        <v/>
      </c>
      <c r="B17" s="72">
        <v>208</v>
      </c>
      <c r="C17" s="107" t="str">
        <f>IFERROR(INDEX(Logs!$B$2:$B$500,MATCH('Beneficiaries (11)'!$B17,Logs!$A$2:$A$500,0)),"")</f>
        <v xml:space="preserve">Mduduzi </v>
      </c>
      <c r="D17" s="107" t="str">
        <f>IFERROR(INDEX(Logs!$C$2:$C$500,MATCH('Beneficiaries (11)'!$B17,Logs!$A$2:$A$500,0)),"")</f>
        <v>Mongalo</v>
      </c>
      <c r="E17" s="108" t="str">
        <f>IFERROR(INDEX(Logs!$D$2:$D$500,MATCH('Beneficiaries (11)'!$B17,Logs!$A$2:$A$500,0)),"")</f>
        <v>7601115532085</v>
      </c>
      <c r="F17" s="73" t="s">
        <v>761</v>
      </c>
      <c r="G17" s="101" t="str">
        <f t="shared" si="0"/>
        <v>M</v>
      </c>
      <c r="H17" s="72" t="s">
        <v>761</v>
      </c>
      <c r="I17" s="72" t="s">
        <v>762</v>
      </c>
      <c r="J17" s="111" t="str">
        <f>IFERROR(INDEX(Logs!$E$2:$E$500,MATCH('Beneficiaries (11)'!$B17,Logs!$A$2:$A$500,0)),"")</f>
        <v>01/05/2023</v>
      </c>
      <c r="K17" s="111" t="str">
        <f>IFERROR(INDEX(Logs!$F$2:$F$500,MATCH('Beneficiaries (11)'!$B17,Logs!$A$2:$A$500,0)),"")</f>
        <v>30/04/2024</v>
      </c>
      <c r="L17" s="111">
        <f>IFERROR(INDEX(Logs!$G$2:$G$500,MATCH('Beneficiaries (11)'!$B17,Logs!$A$2:$A$500,0)),0)</f>
        <v>22</v>
      </c>
      <c r="M17" s="72">
        <v>0</v>
      </c>
      <c r="N17" s="101">
        <f t="shared" si="3"/>
        <v>22</v>
      </c>
      <c r="O17" s="102">
        <f>IFERROR(INDEX(Logs!$H$2:$H$500,MATCH('Beneficiaries (11)'!$B17,Logs!$A$2:$A$500,0)),)</f>
        <v>204.16</v>
      </c>
      <c r="P17" s="103">
        <f t="shared" si="2"/>
        <v>4491.5199999999995</v>
      </c>
      <c r="Q17" s="95"/>
    </row>
    <row r="18" spans="1:17" x14ac:dyDescent="0.2">
      <c r="A18" s="100" t="str">
        <f t="shared" si="1"/>
        <v/>
      </c>
      <c r="B18" s="72">
        <v>209</v>
      </c>
      <c r="C18" s="107" t="str">
        <f>IFERROR(INDEX(Logs!$B$2:$B$500,MATCH('Beneficiaries (11)'!$B18,Logs!$A$2:$A$500,0)),"")</f>
        <v>Nomnikelo</v>
      </c>
      <c r="D18" s="107" t="str">
        <f>IFERROR(INDEX(Logs!$C$2:$C$500,MATCH('Beneficiaries (11)'!$B18,Logs!$A$2:$A$500,0)),"")</f>
        <v>Ngesi</v>
      </c>
      <c r="E18" s="108" t="str">
        <f>IFERROR(INDEX(Logs!$D$2:$D$500,MATCH('Beneficiaries (11)'!$B18,Logs!$A$2:$A$500,0)),"")</f>
        <v>8712240946089</v>
      </c>
      <c r="F18" s="73" t="s">
        <v>761</v>
      </c>
      <c r="G18" s="101" t="str">
        <f t="shared" si="0"/>
        <v>F</v>
      </c>
      <c r="H18" s="72" t="s">
        <v>761</v>
      </c>
      <c r="I18" s="72" t="s">
        <v>762</v>
      </c>
      <c r="J18" s="111" t="str">
        <f>IFERROR(INDEX(Logs!$E$2:$E$500,MATCH('Beneficiaries (11)'!$B18,Logs!$A$2:$A$500,0)),"")</f>
        <v>01/05/2023</v>
      </c>
      <c r="K18" s="111" t="str">
        <f>IFERROR(INDEX(Logs!$F$2:$F$500,MATCH('Beneficiaries (11)'!$B18,Logs!$A$2:$A$500,0)),"")</f>
        <v>30/04/2024</v>
      </c>
      <c r="L18" s="111">
        <f>IFERROR(INDEX(Logs!$G$2:$G$500,MATCH('Beneficiaries (11)'!$B18,Logs!$A$2:$A$500,0)),0)</f>
        <v>22</v>
      </c>
      <c r="M18" s="72">
        <v>0</v>
      </c>
      <c r="N18" s="101">
        <f t="shared" si="3"/>
        <v>22</v>
      </c>
      <c r="O18" s="102">
        <f>IFERROR(INDEX(Logs!$H$2:$H$500,MATCH('Beneficiaries (11)'!$B18,Logs!$A$2:$A$500,0)),)</f>
        <v>204.16</v>
      </c>
      <c r="P18" s="103">
        <f t="shared" si="2"/>
        <v>4491.5199999999995</v>
      </c>
      <c r="Q18" s="95"/>
    </row>
    <row r="19" spans="1:17" x14ac:dyDescent="0.2">
      <c r="A19" s="100" t="str">
        <f t="shared" si="1"/>
        <v/>
      </c>
      <c r="B19" s="72">
        <v>210</v>
      </c>
      <c r="C19" s="107" t="str">
        <f>IFERROR(INDEX(Logs!$B$2:$B$500,MATCH('Beneficiaries (11)'!$B19,Logs!$A$2:$A$500,0)),"")</f>
        <v>Nomakhaya</v>
      </c>
      <c r="D19" s="107" t="str">
        <f>IFERROR(INDEX(Logs!$C$2:$C$500,MATCH('Beneficiaries (11)'!$B19,Logs!$A$2:$A$500,0)),"")</f>
        <v>Bukula</v>
      </c>
      <c r="E19" s="108" t="str">
        <f>IFERROR(INDEX(Logs!$D$2:$D$500,MATCH('Beneficiaries (11)'!$B19,Logs!$A$2:$A$500,0)),"")</f>
        <v>6505260816089</v>
      </c>
      <c r="F19" s="73" t="s">
        <v>761</v>
      </c>
      <c r="G19" s="101" t="str">
        <f t="shared" si="0"/>
        <v>F</v>
      </c>
      <c r="H19" s="72" t="s">
        <v>761</v>
      </c>
      <c r="I19" s="72" t="s">
        <v>762</v>
      </c>
      <c r="J19" s="111" t="str">
        <f>IFERROR(INDEX(Logs!$E$2:$E$500,MATCH('Beneficiaries (11)'!$B19,Logs!$A$2:$A$500,0)),"")</f>
        <v>01/05/2023</v>
      </c>
      <c r="K19" s="111" t="str">
        <f>IFERROR(INDEX(Logs!$F$2:$F$500,MATCH('Beneficiaries (11)'!$B19,Logs!$A$2:$A$500,0)),"")</f>
        <v>30/04/2024</v>
      </c>
      <c r="L19" s="111">
        <f>IFERROR(INDEX(Logs!$G$2:$G$500,MATCH('Beneficiaries (11)'!$B19,Logs!$A$2:$A$500,0)),0)</f>
        <v>22</v>
      </c>
      <c r="M19" s="72">
        <v>0</v>
      </c>
      <c r="N19" s="101">
        <f t="shared" si="3"/>
        <v>22</v>
      </c>
      <c r="O19" s="102">
        <f>IFERROR(INDEX(Logs!$H$2:$H$500,MATCH('Beneficiaries (11)'!$B19,Logs!$A$2:$A$500,0)),)</f>
        <v>204.16</v>
      </c>
      <c r="P19" s="103">
        <f t="shared" si="2"/>
        <v>4491.5199999999995</v>
      </c>
      <c r="Q19" s="95"/>
    </row>
    <row r="20" spans="1:17" x14ac:dyDescent="0.2">
      <c r="A20" s="100" t="str">
        <f t="shared" si="1"/>
        <v/>
      </c>
      <c r="B20" s="72">
        <v>211</v>
      </c>
      <c r="C20" s="107" t="str">
        <f>IFERROR(INDEX(Logs!$B$2:$B$500,MATCH('Beneficiaries (11)'!$B20,Logs!$A$2:$A$500,0)),"")</f>
        <v>Mirriam</v>
      </c>
      <c r="D20" s="107" t="str">
        <f>IFERROR(INDEX(Logs!$C$2:$C$500,MATCH('Beneficiaries (11)'!$B20,Logs!$A$2:$A$500,0)),"")</f>
        <v>Masangweni</v>
      </c>
      <c r="E20" s="108" t="str">
        <f>IFERROR(INDEX(Logs!$D$2:$D$500,MATCH('Beneficiaries (11)'!$B20,Logs!$A$2:$A$500,0)),"")</f>
        <v>6910101486086</v>
      </c>
      <c r="F20" s="73" t="s">
        <v>761</v>
      </c>
      <c r="G20" s="101" t="str">
        <f t="shared" si="0"/>
        <v>F</v>
      </c>
      <c r="H20" s="72" t="s">
        <v>761</v>
      </c>
      <c r="I20" s="72" t="s">
        <v>762</v>
      </c>
      <c r="J20" s="111" t="str">
        <f>IFERROR(INDEX(Logs!$E$2:$E$500,MATCH('Beneficiaries (11)'!$B20,Logs!$A$2:$A$500,0)),"")</f>
        <v>01/05/2023</v>
      </c>
      <c r="K20" s="111" t="str">
        <f>IFERROR(INDEX(Logs!$F$2:$F$500,MATCH('Beneficiaries (11)'!$B20,Logs!$A$2:$A$500,0)),"")</f>
        <v>30/04/2024</v>
      </c>
      <c r="L20" s="111">
        <f>IFERROR(INDEX(Logs!$G$2:$G$500,MATCH('Beneficiaries (11)'!$B20,Logs!$A$2:$A$500,0)),0)</f>
        <v>22</v>
      </c>
      <c r="M20" s="72">
        <v>0</v>
      </c>
      <c r="N20" s="101">
        <f t="shared" si="3"/>
        <v>22</v>
      </c>
      <c r="O20" s="102">
        <f>IFERROR(INDEX(Logs!$H$2:$H$500,MATCH('Beneficiaries (11)'!$B20,Logs!$A$2:$A$500,0)),)</f>
        <v>204.16</v>
      </c>
      <c r="P20" s="103">
        <f t="shared" si="2"/>
        <v>4491.5199999999995</v>
      </c>
      <c r="Q20" s="95"/>
    </row>
    <row r="21" spans="1:17" x14ac:dyDescent="0.2">
      <c r="A21" s="100" t="str">
        <f t="shared" si="1"/>
        <v/>
      </c>
      <c r="B21" s="72">
        <v>212</v>
      </c>
      <c r="C21" s="107" t="str">
        <f>IFERROR(INDEX(Logs!$B$2:$B$500,MATCH('Beneficiaries (11)'!$B21,Logs!$A$2:$A$500,0)),"")</f>
        <v>Xolelwa</v>
      </c>
      <c r="D21" s="107" t="str">
        <f>IFERROR(INDEX(Logs!$C$2:$C$500,MATCH('Beneficiaries (11)'!$B21,Logs!$A$2:$A$500,0)),"")</f>
        <v>Thoba</v>
      </c>
      <c r="E21" s="108" t="str">
        <f>IFERROR(INDEX(Logs!$D$2:$D$500,MATCH('Beneficiaries (11)'!$B21,Logs!$A$2:$A$500,0)),"")</f>
        <v>7706220556083</v>
      </c>
      <c r="F21" s="73" t="s">
        <v>761</v>
      </c>
      <c r="G21" s="101" t="str">
        <f t="shared" si="0"/>
        <v>F</v>
      </c>
      <c r="H21" s="72" t="s">
        <v>761</v>
      </c>
      <c r="I21" s="72" t="s">
        <v>762</v>
      </c>
      <c r="J21" s="111" t="str">
        <f>IFERROR(INDEX(Logs!$E$2:$E$500,MATCH('Beneficiaries (11)'!$B21,Logs!$A$2:$A$500,0)),"")</f>
        <v>01/05/2023</v>
      </c>
      <c r="K21" s="111" t="str">
        <f>IFERROR(INDEX(Logs!$F$2:$F$500,MATCH('Beneficiaries (11)'!$B21,Logs!$A$2:$A$500,0)),"")</f>
        <v>30/04/2024</v>
      </c>
      <c r="L21" s="111">
        <f>IFERROR(INDEX(Logs!$G$2:$G$500,MATCH('Beneficiaries (11)'!$B21,Logs!$A$2:$A$500,0)),0)</f>
        <v>22</v>
      </c>
      <c r="M21" s="72">
        <v>0</v>
      </c>
      <c r="N21" s="101">
        <f t="shared" si="3"/>
        <v>22</v>
      </c>
      <c r="O21" s="102">
        <f>IFERROR(INDEX(Logs!$H$2:$H$500,MATCH('Beneficiaries (11)'!$B21,Logs!$A$2:$A$500,0)),)</f>
        <v>204.16</v>
      </c>
      <c r="P21" s="103">
        <f t="shared" si="2"/>
        <v>4491.5199999999995</v>
      </c>
      <c r="Q21" s="95"/>
    </row>
    <row r="22" spans="1:17" x14ac:dyDescent="0.2">
      <c r="A22" s="100" t="str">
        <f t="shared" si="1"/>
        <v/>
      </c>
      <c r="B22" s="72">
        <v>213</v>
      </c>
      <c r="C22" s="109" t="str">
        <f>IFERROR(INDEX(Logs!$B$2:$B$500,MATCH('Beneficiaries (11)'!$B22,Logs!$A$2:$A$500,0)),"")</f>
        <v>Noxolo</v>
      </c>
      <c r="D22" s="107" t="str">
        <f>IFERROR(INDEX(Logs!$C$2:$C$500,MATCH('Beneficiaries (11)'!$B22,Logs!$A$2:$A$500,0)),"")</f>
        <v>Dengemntu</v>
      </c>
      <c r="E22" s="108" t="str">
        <f>IFERROR(INDEX(Logs!$D$2:$D$500,MATCH('Beneficiaries (11)'!$B22,Logs!$A$2:$A$500,0)),"")</f>
        <v>8804011108088</v>
      </c>
      <c r="F22" s="73" t="s">
        <v>761</v>
      </c>
      <c r="G22" s="101" t="str">
        <f t="shared" si="0"/>
        <v>F</v>
      </c>
      <c r="H22" s="72" t="s">
        <v>761</v>
      </c>
      <c r="I22" s="72" t="s">
        <v>762</v>
      </c>
      <c r="J22" s="111" t="str">
        <f>IFERROR(INDEX(Logs!$E$2:$E$500,MATCH('Beneficiaries (11)'!$B22,Logs!$A$2:$A$500,0)),"")</f>
        <v>01/05/2023</v>
      </c>
      <c r="K22" s="111" t="str">
        <f>IFERROR(INDEX(Logs!$F$2:$F$500,MATCH('Beneficiaries (11)'!$B22,Logs!$A$2:$A$500,0)),"")</f>
        <v>30/04/2024</v>
      </c>
      <c r="L22" s="111">
        <f>IFERROR(INDEX(Logs!$G$2:$G$500,MATCH('Beneficiaries (11)'!$B22,Logs!$A$2:$A$500,0)),0)</f>
        <v>22</v>
      </c>
      <c r="M22" s="72">
        <v>0</v>
      </c>
      <c r="N22" s="101">
        <f t="shared" si="3"/>
        <v>22</v>
      </c>
      <c r="O22" s="102">
        <f>IFERROR(INDEX(Logs!$H$2:$H$500,MATCH('Beneficiaries (11)'!$B22,Logs!$A$2:$A$500,0)),)</f>
        <v>204.16</v>
      </c>
      <c r="P22" s="103">
        <f t="shared" si="2"/>
        <v>4491.5199999999995</v>
      </c>
      <c r="Q22" s="95"/>
    </row>
    <row r="23" spans="1:17" x14ac:dyDescent="0.2">
      <c r="A23" s="100" t="str">
        <f t="shared" si="1"/>
        <v/>
      </c>
      <c r="B23" s="72">
        <v>214</v>
      </c>
      <c r="C23" s="109" t="str">
        <f>IFERROR(INDEX(Logs!$B$2:$B$500,MATCH('Beneficiaries (11)'!$B23,Logs!$A$2:$A$500,0)),"")</f>
        <v>Oliver</v>
      </c>
      <c r="D23" s="107" t="str">
        <f>IFERROR(INDEX(Logs!$C$2:$C$500,MATCH('Beneficiaries (11)'!$B23,Logs!$A$2:$A$500,0)),"")</f>
        <v>Matomela</v>
      </c>
      <c r="E23" s="108" t="str">
        <f>IFERROR(INDEX(Logs!$D$2:$D$500,MATCH('Beneficiaries (11)'!$B23,Logs!$A$2:$A$500,0)),"")</f>
        <v>6701115717081</v>
      </c>
      <c r="F23" s="73" t="s">
        <v>761</v>
      </c>
      <c r="G23" s="101" t="str">
        <f t="shared" si="0"/>
        <v>M</v>
      </c>
      <c r="H23" s="72" t="s">
        <v>761</v>
      </c>
      <c r="I23" s="72" t="s">
        <v>762</v>
      </c>
      <c r="J23" s="111" t="str">
        <f>IFERROR(INDEX(Logs!$E$2:$E$500,MATCH('Beneficiaries (11)'!$B23,Logs!$A$2:$A$500,0)),"")</f>
        <v>01/05/2023</v>
      </c>
      <c r="K23" s="111" t="str">
        <f>IFERROR(INDEX(Logs!$F$2:$F$500,MATCH('Beneficiaries (11)'!$B23,Logs!$A$2:$A$500,0)),"")</f>
        <v>30/04/2024</v>
      </c>
      <c r="L23" s="111">
        <f>IFERROR(INDEX(Logs!$G$2:$G$500,MATCH('Beneficiaries (11)'!$B23,Logs!$A$2:$A$500,0)),0)</f>
        <v>18</v>
      </c>
      <c r="M23" s="72">
        <v>0</v>
      </c>
      <c r="N23" s="101">
        <f t="shared" si="3"/>
        <v>18</v>
      </c>
      <c r="O23" s="102">
        <f>IFERROR(INDEX(Logs!$H$2:$H$500,MATCH('Beneficiaries (11)'!$B23,Logs!$A$2:$A$500,0)),)</f>
        <v>204.16</v>
      </c>
      <c r="P23" s="103">
        <f t="shared" si="2"/>
        <v>3674.88</v>
      </c>
      <c r="Q23" s="95"/>
    </row>
    <row r="24" spans="1:17" x14ac:dyDescent="0.2">
      <c r="A24" s="100" t="str">
        <f t="shared" si="1"/>
        <v/>
      </c>
      <c r="B24" s="72">
        <v>215</v>
      </c>
      <c r="C24" s="109" t="str">
        <f>IFERROR(INDEX(Logs!$B$2:$B$500,MATCH('Beneficiaries (11)'!$B24,Logs!$A$2:$A$500,0)),"")</f>
        <v>Nomvuyo</v>
      </c>
      <c r="D24" s="107" t="str">
        <f>IFERROR(INDEX(Logs!$C$2:$C$500,MATCH('Beneficiaries (11)'!$B24,Logs!$A$2:$A$500,0)),"")</f>
        <v>Mayikana</v>
      </c>
      <c r="E24" s="108" t="str">
        <f>IFERROR(INDEX(Logs!$D$2:$D$500,MATCH('Beneficiaries (11)'!$B24,Logs!$A$2:$A$500,0)),"")</f>
        <v>8402160390084</v>
      </c>
      <c r="F24" s="73" t="s">
        <v>761</v>
      </c>
      <c r="G24" s="101" t="str">
        <f t="shared" si="0"/>
        <v>F</v>
      </c>
      <c r="H24" s="72" t="s">
        <v>761</v>
      </c>
      <c r="I24" s="72" t="s">
        <v>762</v>
      </c>
      <c r="J24" s="111" t="str">
        <f>IFERROR(INDEX(Logs!$E$2:$E$500,MATCH('Beneficiaries (11)'!$B24,Logs!$A$2:$A$500,0)),"")</f>
        <v>12/05/2023</v>
      </c>
      <c r="K24" s="111" t="str">
        <f>IFERROR(INDEX(Logs!$F$2:$F$500,MATCH('Beneficiaries (11)'!$B24,Logs!$A$2:$A$500,0)),"")</f>
        <v>30/04/2024</v>
      </c>
      <c r="L24" s="111">
        <f>IFERROR(INDEX(Logs!$G$2:$G$500,MATCH('Beneficiaries (11)'!$B24,Logs!$A$2:$A$500,0)),0)</f>
        <v>17</v>
      </c>
      <c r="M24" s="72">
        <v>0</v>
      </c>
      <c r="N24" s="101">
        <f t="shared" si="3"/>
        <v>17</v>
      </c>
      <c r="O24" s="102">
        <f>IFERROR(INDEX(Logs!$H$2:$H$500,MATCH('Beneficiaries (11)'!$B24,Logs!$A$2:$A$500,0)),)</f>
        <v>204.16</v>
      </c>
      <c r="P24" s="103">
        <f t="shared" si="2"/>
        <v>3470.72</v>
      </c>
      <c r="Q24" s="95"/>
    </row>
    <row r="25" spans="1:17" x14ac:dyDescent="0.2">
      <c r="A25" s="100" t="str">
        <f t="shared" si="1"/>
        <v/>
      </c>
      <c r="B25" s="72">
        <v>216</v>
      </c>
      <c r="C25" s="110" t="str">
        <f>IFERROR(INDEX(Logs!$B$2:$B$500,MATCH('Beneficiaries (11)'!$B25,Logs!$A$2:$A$500,0)),"")</f>
        <v>Sibusiso</v>
      </c>
      <c r="D25" s="107" t="str">
        <f>IFERROR(INDEX(Logs!$C$2:$C$500,MATCH('Beneficiaries (11)'!$B25,Logs!$A$2:$A$500,0)),"")</f>
        <v>Ngqola</v>
      </c>
      <c r="E25" s="108" t="str">
        <f>IFERROR(INDEX(Logs!$D$2:$D$500,MATCH('Beneficiaries (11)'!$B25,Logs!$A$2:$A$500,0)),"")</f>
        <v>9104236202082</v>
      </c>
      <c r="F25" s="73" t="s">
        <v>761</v>
      </c>
      <c r="G25" s="101" t="str">
        <f t="shared" si="0"/>
        <v>M</v>
      </c>
      <c r="H25" s="72" t="s">
        <v>761</v>
      </c>
      <c r="I25" s="72" t="s">
        <v>762</v>
      </c>
      <c r="J25" s="111" t="str">
        <f>IFERROR(INDEX(Logs!$E$2:$E$500,MATCH('Beneficiaries (11)'!$B25,Logs!$A$2:$A$500,0)),"")</f>
        <v>12/05/2023</v>
      </c>
      <c r="K25" s="111" t="str">
        <f>IFERROR(INDEX(Logs!$F$2:$F$500,MATCH('Beneficiaries (11)'!$B25,Logs!$A$2:$A$500,0)),"")</f>
        <v>30/04/2024</v>
      </c>
      <c r="L25" s="111">
        <f>IFERROR(INDEX(Logs!$G$2:$G$500,MATCH('Beneficiaries (11)'!$B25,Logs!$A$2:$A$500,0)),0)</f>
        <v>17</v>
      </c>
      <c r="M25" s="72">
        <v>0</v>
      </c>
      <c r="N25" s="101">
        <f t="shared" si="3"/>
        <v>17</v>
      </c>
      <c r="O25" s="102">
        <f>IFERROR(INDEX(Logs!$H$2:$H$500,MATCH('Beneficiaries (11)'!$B25,Logs!$A$2:$A$500,0)),)</f>
        <v>204.16</v>
      </c>
      <c r="P25" s="103">
        <f t="shared" si="2"/>
        <v>3470.72</v>
      </c>
      <c r="Q25" s="95"/>
    </row>
    <row r="26" spans="1:17" x14ac:dyDescent="0.2">
      <c r="A26" s="100" t="str">
        <f t="shared" si="1"/>
        <v/>
      </c>
      <c r="B26" s="72">
        <v>217</v>
      </c>
      <c r="C26" s="110" t="str">
        <f>IFERROR(INDEX(Logs!$B$2:$B$500,MATCH('Beneficiaries (11)'!$B26,Logs!$A$2:$A$500,0)),"")</f>
        <v>Jan</v>
      </c>
      <c r="D26" s="107" t="str">
        <f>IFERROR(INDEX(Logs!$C$2:$C$500,MATCH('Beneficiaries (11)'!$B26,Logs!$A$2:$A$500,0)),"")</f>
        <v>Coetzee</v>
      </c>
      <c r="E26" s="108" t="str">
        <f>IFERROR(INDEX(Logs!$D$2:$D$500,MATCH('Beneficiaries (11)'!$B26,Logs!$A$2:$A$500,0)),"")</f>
        <v>6610125058081</v>
      </c>
      <c r="F26" s="73" t="s">
        <v>761</v>
      </c>
      <c r="G26" s="101" t="str">
        <f t="shared" si="0"/>
        <v>M</v>
      </c>
      <c r="H26" s="72" t="s">
        <v>761</v>
      </c>
      <c r="I26" s="72" t="s">
        <v>762</v>
      </c>
      <c r="J26" s="111" t="str">
        <f>IFERROR(INDEX(Logs!$E$2:$E$500,MATCH('Beneficiaries (11)'!$B26,Logs!$A$2:$A$500,0)),"")</f>
        <v>25/05/2023</v>
      </c>
      <c r="K26" s="111" t="str">
        <f>IFERROR(INDEX(Logs!$F$2:$F$500,MATCH('Beneficiaries (11)'!$B26,Logs!$A$2:$A$500,0)),"")</f>
        <v>30/04/2024</v>
      </c>
      <c r="L26" s="111">
        <f>IFERROR(INDEX(Logs!$G$2:$G$500,MATCH('Beneficiaries (11)'!$B26,Logs!$A$2:$A$500,0)),0)</f>
        <v>17</v>
      </c>
      <c r="M26" s="72">
        <v>0</v>
      </c>
      <c r="N26" s="101">
        <f t="shared" si="3"/>
        <v>17</v>
      </c>
      <c r="O26" s="102">
        <f>IFERROR(INDEX(Logs!$H$2:$H$500,MATCH('Beneficiaries (11)'!$B26,Logs!$A$2:$A$500,0)),)</f>
        <v>204.16</v>
      </c>
      <c r="P26" s="103">
        <f t="shared" si="2"/>
        <v>3470.72</v>
      </c>
      <c r="Q26" s="95"/>
    </row>
    <row r="27" spans="1:17" x14ac:dyDescent="0.2">
      <c r="A27" s="100" t="str">
        <f t="shared" si="1"/>
        <v/>
      </c>
      <c r="B27" s="72">
        <v>218</v>
      </c>
      <c r="C27" s="110" t="str">
        <f>IFERROR(INDEX(Logs!$B$2:$B$500,MATCH('Beneficiaries (11)'!$B27,Logs!$A$2:$A$500,0)),"")</f>
        <v>Hendrik</v>
      </c>
      <c r="D27" s="107" t="str">
        <f>IFERROR(INDEX(Logs!$C$2:$C$500,MATCH('Beneficiaries (11)'!$B27,Logs!$A$2:$A$500,0)),"")</f>
        <v>Vlink</v>
      </c>
      <c r="E27" s="108" t="str">
        <f>IFERROR(INDEX(Logs!$D$2:$D$500,MATCH('Beneficiaries (11)'!$B27,Logs!$A$2:$A$500,0)),"")</f>
        <v>8509206721088</v>
      </c>
      <c r="F27" s="73" t="s">
        <v>761</v>
      </c>
      <c r="G27" s="101" t="str">
        <f t="shared" si="0"/>
        <v>M</v>
      </c>
      <c r="H27" s="72" t="s">
        <v>761</v>
      </c>
      <c r="I27" s="72" t="s">
        <v>762</v>
      </c>
      <c r="J27" s="111" t="str">
        <f>IFERROR(INDEX(Logs!$E$2:$E$500,MATCH('Beneficiaries (11)'!$B27,Logs!$A$2:$A$500,0)),"")</f>
        <v>25/05/2023</v>
      </c>
      <c r="K27" s="111" t="str">
        <f>IFERROR(INDEX(Logs!$F$2:$F$500,MATCH('Beneficiaries (11)'!$B27,Logs!$A$2:$A$500,0)),"")</f>
        <v>30/04/2024</v>
      </c>
      <c r="L27" s="111">
        <f>IFERROR(INDEX(Logs!$G$2:$G$500,MATCH('Beneficiaries (11)'!$B27,Logs!$A$2:$A$500,0)),0)</f>
        <v>17</v>
      </c>
      <c r="M27" s="72">
        <v>0</v>
      </c>
      <c r="N27" s="101">
        <f t="shared" si="3"/>
        <v>17</v>
      </c>
      <c r="O27" s="102">
        <f>IFERROR(INDEX(Logs!$H$2:$H$500,MATCH('Beneficiaries (11)'!$B27,Logs!$A$2:$A$500,0)),)</f>
        <v>204.16</v>
      </c>
      <c r="P27" s="103">
        <f t="shared" si="2"/>
        <v>3470.72</v>
      </c>
      <c r="Q27" s="95"/>
    </row>
    <row r="28" spans="1:17" x14ac:dyDescent="0.2">
      <c r="A28" s="100" t="str">
        <f t="shared" si="1"/>
        <v/>
      </c>
      <c r="B28" s="72">
        <v>219</v>
      </c>
      <c r="C28" s="110" t="str">
        <f>IFERROR(INDEX(Logs!$B$2:$B$500,MATCH('Beneficiaries (11)'!$B28,Logs!$A$2:$A$500,0)),"")</f>
        <v>John</v>
      </c>
      <c r="D28" s="107" t="str">
        <f>IFERROR(INDEX(Logs!$C$2:$C$500,MATCH('Beneficiaries (11)'!$B28,Logs!$A$2:$A$500,0)),"")</f>
        <v>Kemp</v>
      </c>
      <c r="E28" s="108" t="str">
        <f>IFERROR(INDEX(Logs!$D$2:$D$500,MATCH('Beneficiaries (11)'!$B28,Logs!$A$2:$A$500,0)),"")</f>
        <v>6709125900084</v>
      </c>
      <c r="F28" s="73" t="s">
        <v>761</v>
      </c>
      <c r="G28" s="101" t="str">
        <f t="shared" si="0"/>
        <v>M</v>
      </c>
      <c r="H28" s="72" t="s">
        <v>761</v>
      </c>
      <c r="I28" s="72" t="s">
        <v>762</v>
      </c>
      <c r="J28" s="111" t="str">
        <f>IFERROR(INDEX(Logs!$E$2:$E$500,MATCH('Beneficiaries (11)'!$B28,Logs!$A$2:$A$500,0)),"")</f>
        <v>25/05/2023</v>
      </c>
      <c r="K28" s="111" t="str">
        <f>IFERROR(INDEX(Logs!$F$2:$F$500,MATCH('Beneficiaries (11)'!$B28,Logs!$A$2:$A$500,0)),"")</f>
        <v>31/05/2024</v>
      </c>
      <c r="L28" s="111">
        <f>IFERROR(INDEX(Logs!$G$2:$G$500,MATCH('Beneficiaries (11)'!$B28,Logs!$A$2:$A$500,0)),0)</f>
        <v>17</v>
      </c>
      <c r="M28" s="72">
        <v>0</v>
      </c>
      <c r="N28" s="101">
        <f t="shared" si="3"/>
        <v>17</v>
      </c>
      <c r="O28" s="102">
        <f>IFERROR(INDEX(Logs!$H$2:$H$500,MATCH('Beneficiaries (11)'!$B28,Logs!$A$2:$A$500,0)),)</f>
        <v>204.16</v>
      </c>
      <c r="P28" s="103">
        <f t="shared" si="2"/>
        <v>3470.72</v>
      </c>
      <c r="Q28" s="95"/>
    </row>
    <row r="29" spans="1:17" x14ac:dyDescent="0.2">
      <c r="A29" s="100" t="str">
        <f t="shared" si="1"/>
        <v/>
      </c>
      <c r="B29" s="72">
        <v>220</v>
      </c>
      <c r="C29" s="110" t="str">
        <f>IFERROR(INDEX(Logs!$B$2:$B$500,MATCH('Beneficiaries (11)'!$B29,Logs!$A$2:$A$500,0)),"")</f>
        <v>Lameez</v>
      </c>
      <c r="D29" s="110" t="str">
        <f>IFERROR(INDEX(Logs!$C$2:$C$500,MATCH('Beneficiaries (11)'!$B29,Logs!$A$2:$A$500,0)),"")</f>
        <v>Carolissen</v>
      </c>
      <c r="E29" s="108" t="str">
        <f>IFERROR(INDEX(Logs!$D$2:$D$500,MATCH('Beneficiaries (11)'!$B29,Logs!$A$2:$A$500,0)),"")</f>
        <v>9208270462088</v>
      </c>
      <c r="F29" s="73" t="s">
        <v>761</v>
      </c>
      <c r="G29" s="101" t="str">
        <f t="shared" si="0"/>
        <v>F</v>
      </c>
      <c r="H29" s="72" t="s">
        <v>761</v>
      </c>
      <c r="I29" s="72" t="s">
        <v>762</v>
      </c>
      <c r="J29" s="111" t="str">
        <f>IFERROR(INDEX(Logs!$E$2:$E$500,MATCH('Beneficiaries (11)'!$B29,Logs!$A$2:$A$500,0)),"")</f>
        <v>25/05/2024</v>
      </c>
      <c r="K29" s="111" t="str">
        <f>IFERROR(INDEX(Logs!$F$2:$F$500,MATCH('Beneficiaries (11)'!$B29,Logs!$A$2:$A$500,0)),"")</f>
        <v>31/05/2024</v>
      </c>
      <c r="L29" s="111">
        <f>IFERROR(INDEX(Logs!$G$2:$G$500,MATCH('Beneficiaries (11)'!$B29,Logs!$A$2:$A$500,0)),0)</f>
        <v>17</v>
      </c>
      <c r="M29" s="72">
        <v>0</v>
      </c>
      <c r="N29" s="101">
        <f t="shared" si="3"/>
        <v>17</v>
      </c>
      <c r="O29" s="102">
        <f>IFERROR(INDEX(Logs!$H$2:$H$500,MATCH('Beneficiaries (11)'!$B29,Logs!$A$2:$A$500,0)),)</f>
        <v>204.16</v>
      </c>
      <c r="P29" s="103">
        <f t="shared" si="2"/>
        <v>3470.72</v>
      </c>
      <c r="Q29" s="95"/>
    </row>
    <row r="30" spans="1:17" x14ac:dyDescent="0.2"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104">
        <f>SUM(L10:L29)</f>
        <v>406</v>
      </c>
      <c r="M30" s="104">
        <f>SUM(M10:M29)</f>
        <v>0</v>
      </c>
      <c r="N30" s="104">
        <f>SUM(N10:N29)</f>
        <v>406</v>
      </c>
      <c r="O30" s="105">
        <f>SUM(O10:O29)</f>
        <v>4097.119999999999</v>
      </c>
      <c r="P30" s="106">
        <f>SUM(P10:P29)</f>
        <v>83195.199999999983</v>
      </c>
      <c r="Q30" s="97"/>
    </row>
    <row r="31" spans="1:17" ht="27" customHeight="1" x14ac:dyDescent="0.2">
      <c r="B31" s="217" t="s">
        <v>98</v>
      </c>
      <c r="C31" s="217"/>
      <c r="D31" s="98" t="s">
        <v>97</v>
      </c>
      <c r="E31" s="218" t="str">
        <f>Project!$G$30</f>
        <v>Benjamin Milandou-Loubeka</v>
      </c>
      <c r="F31" s="218"/>
      <c r="G31" s="218"/>
      <c r="H31" s="219" t="s">
        <v>101</v>
      </c>
      <c r="I31" s="220"/>
      <c r="J31" s="220"/>
      <c r="K31" s="220"/>
      <c r="L31" s="220"/>
      <c r="M31" s="220"/>
      <c r="N31" s="220"/>
      <c r="O31" s="220"/>
      <c r="P31" s="220"/>
      <c r="Q31" s="87"/>
    </row>
    <row r="32" spans="1:17" ht="27" customHeight="1" x14ac:dyDescent="0.2">
      <c r="B32" s="217"/>
      <c r="C32" s="217"/>
      <c r="D32" s="98" t="s">
        <v>100</v>
      </c>
      <c r="E32" s="221">
        <f>Project!$AN$1</f>
        <v>45199</v>
      </c>
      <c r="F32" s="221"/>
      <c r="G32" s="221"/>
      <c r="H32" s="219"/>
      <c r="I32" s="220"/>
      <c r="J32" s="220"/>
      <c r="K32" s="220"/>
      <c r="L32" s="220"/>
      <c r="M32" s="220"/>
      <c r="N32" s="220"/>
      <c r="O32" s="220"/>
      <c r="P32" s="220"/>
      <c r="Q32" s="87"/>
    </row>
    <row r="33" spans="2:17" ht="14.25" customHeight="1" x14ac:dyDescent="0.2">
      <c r="B33" s="88"/>
      <c r="C33" s="88"/>
      <c r="D33" s="99"/>
      <c r="E33" s="87"/>
      <c r="F33" s="87"/>
      <c r="G33" s="87"/>
      <c r="H33" s="81"/>
      <c r="I33" s="87"/>
      <c r="J33" s="87"/>
      <c r="K33" s="87"/>
      <c r="L33" s="87"/>
      <c r="M33" s="87"/>
      <c r="N33" s="87"/>
      <c r="O33" s="87"/>
      <c r="P33" s="87"/>
      <c r="Q33" s="87"/>
    </row>
    <row r="34" spans="2:17" ht="27" customHeight="1" x14ac:dyDescent="0.2">
      <c r="B34" s="217" t="s">
        <v>99</v>
      </c>
      <c r="C34" s="217"/>
      <c r="D34" s="98" t="s">
        <v>97</v>
      </c>
      <c r="E34" s="220"/>
      <c r="F34" s="220"/>
      <c r="G34" s="220"/>
      <c r="H34" s="219" t="s">
        <v>101</v>
      </c>
      <c r="I34" s="220"/>
      <c r="J34" s="220"/>
      <c r="K34" s="220"/>
      <c r="L34" s="220"/>
      <c r="M34" s="220"/>
      <c r="N34" s="220"/>
      <c r="O34" s="220"/>
      <c r="P34" s="220"/>
      <c r="Q34" s="87"/>
    </row>
    <row r="35" spans="2:17" ht="27" customHeight="1" x14ac:dyDescent="0.2">
      <c r="B35" s="217"/>
      <c r="C35" s="217"/>
      <c r="D35" s="98" t="s">
        <v>100</v>
      </c>
      <c r="E35" s="220"/>
      <c r="F35" s="220"/>
      <c r="G35" s="220"/>
      <c r="H35" s="219"/>
      <c r="I35" s="220"/>
      <c r="J35" s="220"/>
      <c r="K35" s="220"/>
      <c r="L35" s="220"/>
      <c r="M35" s="220"/>
      <c r="N35" s="220"/>
      <c r="O35" s="220"/>
      <c r="P35" s="220"/>
      <c r="Q35" s="87"/>
    </row>
    <row r="74" spans="2:2" x14ac:dyDescent="0.2">
      <c r="B74" s="87"/>
    </row>
  </sheetData>
  <sheetProtection algorithmName="SHA-512" hashValue="yRCihucvyh6XBht44QO5bECaPRznkdU8BAmYjKTYhAzj784VVNE38sOimeqzMo5MMdJh/NkEbP9L02LuqjDpCw==" saltValue="mGn6EKrGRxk+5uDMOMwjgQ==" spinCount="100000" sheet="1" selectLockedCells="1"/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conditionalFormatting sqref="C10:C21">
    <cfRule type="uniqueValues" dxfId="44" priority="9"/>
  </conditionalFormatting>
  <conditionalFormatting sqref="D10:D20">
    <cfRule type="uniqueValues" dxfId="43" priority="8"/>
  </conditionalFormatting>
  <conditionalFormatting sqref="D21:D28">
    <cfRule type="uniqueValues" dxfId="42" priority="7"/>
  </conditionalFormatting>
  <conditionalFormatting sqref="F10:F29">
    <cfRule type="expression" dxfId="41" priority="6">
      <formula>$C10=""</formula>
    </cfRule>
  </conditionalFormatting>
  <conditionalFormatting sqref="H10:I29">
    <cfRule type="expression" dxfId="40" priority="5">
      <formula>$C10=""</formula>
    </cfRule>
  </conditionalFormatting>
  <conditionalFormatting sqref="B10:B29">
    <cfRule type="expression" dxfId="39" priority="4">
      <formula>$C10=""</formula>
    </cfRule>
  </conditionalFormatting>
  <conditionalFormatting sqref="L10:L29">
    <cfRule type="cellIs" dxfId="38" priority="3" operator="equal">
      <formula>0</formula>
    </cfRule>
  </conditionalFormatting>
  <conditionalFormatting sqref="M10:N29">
    <cfRule type="expression" dxfId="37" priority="2">
      <formula>$C10=""</formula>
    </cfRule>
  </conditionalFormatting>
  <conditionalFormatting sqref="O10:P29">
    <cfRule type="expression" dxfId="36" priority="1">
      <formula>$C10=""</formula>
    </cfRule>
  </conditionalFormatting>
  <dataValidations count="1">
    <dataValidation allowBlank="1" showInputMessage="1" showErrorMessage="1" promptTitle="Month" sqref="I6" xr:uid="{85C2503F-4803-4566-BF78-A7DEC19902AC}"/>
  </dataValidations>
  <pageMargins left="0.23622047244094491" right="0.23622047244094491" top="0.74803149606299213" bottom="0.74803149606299213" header="0.31496062992125984" footer="0.31496062992125984"/>
  <pageSetup paperSize="9" scale="86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CFCD3-CE3C-490B-83D6-0D9B436C3433}">
  <sheetPr codeName="Sheet26">
    <pageSetUpPr fitToPage="1"/>
  </sheetPr>
  <dimension ref="A1:R74"/>
  <sheetViews>
    <sheetView showGridLines="0" zoomScaleNormal="100" workbookViewId="0">
      <selection activeCell="C11" sqref="C11"/>
    </sheetView>
  </sheetViews>
  <sheetFormatPr defaultColWidth="8.85546875" defaultRowHeight="12.75" x14ac:dyDescent="0.2"/>
  <cols>
    <col min="1" max="1" width="20.7109375" style="76" customWidth="1"/>
    <col min="2" max="2" width="4.42578125" style="80" customWidth="1"/>
    <col min="3" max="5" width="24.42578125" style="80" customWidth="1"/>
    <col min="6" max="6" width="10.140625" style="80" customWidth="1"/>
    <col min="7" max="9" width="8.85546875" style="80"/>
    <col min="10" max="11" width="10.140625" style="80" bestFit="1" customWidth="1"/>
    <col min="12" max="15" width="13.7109375" style="80" customWidth="1"/>
    <col min="16" max="17" width="14.5703125" style="80" customWidth="1"/>
    <col min="18" max="18" width="8.85546875" style="150"/>
    <col min="19" max="16384" width="8.85546875" style="80"/>
  </cols>
  <sheetData>
    <row r="1" spans="1:18" ht="15.75" x14ac:dyDescent="0.25">
      <c r="B1" s="77" t="s">
        <v>44</v>
      </c>
      <c r="C1" s="78"/>
      <c r="D1" s="78"/>
      <c r="E1" s="79" t="s">
        <v>1</v>
      </c>
      <c r="G1" s="78"/>
      <c r="H1" s="78"/>
      <c r="I1" s="78"/>
      <c r="R1" s="114">
        <f>IF(Beneficiaries!$P$30&gt;0,1,"")</f>
        <v>1</v>
      </c>
    </row>
    <row r="2" spans="1:18" ht="15.75" x14ac:dyDescent="0.25"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114">
        <f>IF('Beneficiaries (2)'!$P$30&gt;0,1,"")</f>
        <v>1</v>
      </c>
    </row>
    <row r="3" spans="1:18" x14ac:dyDescent="0.2">
      <c r="B3" s="210" t="s">
        <v>28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81"/>
      <c r="R3" s="114">
        <f>IF('Beneficiaries (3)'!$P$30&gt;0,1,"")</f>
        <v>1</v>
      </c>
    </row>
    <row r="4" spans="1:18" x14ac:dyDescent="0.2">
      <c r="C4" s="77"/>
      <c r="D4" s="77"/>
      <c r="E4" s="77"/>
      <c r="F4" s="77"/>
      <c r="G4" s="77"/>
      <c r="R4" s="114">
        <f>IF('Beneficiaries (4)'!$P$30&gt;0,1,"")</f>
        <v>1</v>
      </c>
    </row>
    <row r="5" spans="1:18" ht="12.75" customHeight="1" x14ac:dyDescent="0.2">
      <c r="B5" s="211" t="s">
        <v>12</v>
      </c>
      <c r="C5" s="212"/>
      <c r="D5" s="215" t="str">
        <f>Project!$Z$25</f>
        <v>WSDS/24/111i</v>
      </c>
      <c r="E5" s="215"/>
      <c r="F5" s="82"/>
      <c r="H5" s="83" t="s">
        <v>80</v>
      </c>
      <c r="I5" s="83" t="s">
        <v>81</v>
      </c>
      <c r="J5" s="77"/>
      <c r="K5" s="216" t="s">
        <v>78</v>
      </c>
      <c r="L5" s="216"/>
      <c r="M5" s="216"/>
      <c r="N5" s="85"/>
      <c r="O5" s="85"/>
      <c r="P5" s="77"/>
      <c r="Q5" s="77"/>
      <c r="R5" s="114">
        <f>IF('Beneficiaries (5)'!$P$30&gt;0,1,"")</f>
        <v>1</v>
      </c>
    </row>
    <row r="6" spans="1:18" x14ac:dyDescent="0.2">
      <c r="B6" s="213"/>
      <c r="C6" s="214"/>
      <c r="D6" s="215"/>
      <c r="E6" s="215"/>
      <c r="F6" s="82"/>
      <c r="H6" s="112" t="str">
        <f>TEXT(Project!$AN$1,"YYYY")</f>
        <v>2023</v>
      </c>
      <c r="I6" s="112" t="str">
        <f>TEXT(Project!$AN$1,"MMMM")</f>
        <v>September</v>
      </c>
      <c r="J6" s="86"/>
      <c r="K6" s="57">
        <v>1</v>
      </c>
      <c r="L6" s="84" t="s">
        <v>79</v>
      </c>
      <c r="M6" s="113">
        <f>IF(K6&gt;0,COUNT(R1:R20),"")</f>
        <v>14</v>
      </c>
      <c r="N6" s="85"/>
      <c r="O6" s="85"/>
      <c r="P6" s="87"/>
      <c r="Q6" s="87"/>
      <c r="R6" s="114">
        <f>IF('Beneficiaries (6)'!$P$30&gt;0,1,"")</f>
        <v>1</v>
      </c>
    </row>
    <row r="7" spans="1:18" x14ac:dyDescent="0.2">
      <c r="B7" s="88"/>
      <c r="C7" s="88"/>
      <c r="D7" s="88"/>
      <c r="E7" s="87"/>
      <c r="F7" s="87"/>
      <c r="H7" s="86"/>
      <c r="I7" s="86"/>
      <c r="J7" s="86"/>
      <c r="K7" s="87"/>
      <c r="L7" s="85"/>
      <c r="M7" s="85"/>
      <c r="N7" s="85"/>
      <c r="O7" s="85"/>
      <c r="P7" s="87"/>
      <c r="Q7" s="87"/>
      <c r="R7" s="114">
        <f>IF('Beneficiaries (7)'!$P$30&gt;0,1,"")</f>
        <v>1</v>
      </c>
    </row>
    <row r="8" spans="1:18" x14ac:dyDescent="0.2">
      <c r="B8" s="89"/>
      <c r="C8" s="90" t="s">
        <v>34</v>
      </c>
      <c r="D8" s="90" t="s">
        <v>34</v>
      </c>
      <c r="E8" s="90" t="s">
        <v>34</v>
      </c>
      <c r="F8" s="90" t="s">
        <v>35</v>
      </c>
      <c r="G8" s="89"/>
      <c r="H8" s="89"/>
      <c r="I8" s="90" t="s">
        <v>36</v>
      </c>
      <c r="J8" s="89"/>
      <c r="K8" s="90" t="s">
        <v>37</v>
      </c>
      <c r="L8" s="90" t="s">
        <v>38</v>
      </c>
      <c r="M8" s="90" t="s">
        <v>42</v>
      </c>
      <c r="N8" s="90"/>
      <c r="O8" s="90" t="s">
        <v>104</v>
      </c>
      <c r="P8" s="90"/>
      <c r="Q8" s="91"/>
      <c r="R8" s="114">
        <f>IF('Beneficiaries (8)'!$P$30&gt;0,1,"")</f>
        <v>1</v>
      </c>
    </row>
    <row r="9" spans="1:18" ht="45" x14ac:dyDescent="0.2">
      <c r="B9" s="92" t="s">
        <v>29</v>
      </c>
      <c r="C9" s="92" t="s">
        <v>30</v>
      </c>
      <c r="D9" s="92" t="s">
        <v>31</v>
      </c>
      <c r="E9" s="92" t="s">
        <v>32</v>
      </c>
      <c r="F9" s="93" t="s">
        <v>96</v>
      </c>
      <c r="G9" s="93" t="s">
        <v>33</v>
      </c>
      <c r="H9" s="93" t="s">
        <v>76</v>
      </c>
      <c r="I9" s="93" t="s">
        <v>77</v>
      </c>
      <c r="J9" s="93" t="s">
        <v>95</v>
      </c>
      <c r="K9" s="93" t="s">
        <v>94</v>
      </c>
      <c r="L9" s="93" t="s">
        <v>41</v>
      </c>
      <c r="M9" s="93" t="s">
        <v>103</v>
      </c>
      <c r="N9" s="93" t="s">
        <v>116</v>
      </c>
      <c r="O9" s="93" t="s">
        <v>102</v>
      </c>
      <c r="P9" s="93" t="s">
        <v>117</v>
      </c>
      <c r="Q9" s="94"/>
      <c r="R9" s="114">
        <f>IF('Beneficiaries (9)'!$P$30&gt;0,1,"")</f>
        <v>1</v>
      </c>
    </row>
    <row r="10" spans="1:18" x14ac:dyDescent="0.2">
      <c r="A10" s="100" t="str">
        <f>ID_Valid(E10)</f>
        <v/>
      </c>
      <c r="B10" s="72">
        <v>221</v>
      </c>
      <c r="C10" s="107" t="str">
        <f>IFERROR(INDEX(Logs!$B$2:$B$500,MATCH('Beneficiaries (12)'!$B10,Logs!$A$2:$A$500,0)),"")</f>
        <v>Mmpule</v>
      </c>
      <c r="D10" s="107" t="str">
        <f>IFERROR(INDEX(Logs!$C$2:$C$500,MATCH('Beneficiaries (12)'!$B10,Logs!$A$2:$A$500,0)),"")</f>
        <v>Mashale</v>
      </c>
      <c r="E10" s="108" t="str">
        <f>IFERROR(INDEX(Logs!$D$2:$D$500,MATCH('Beneficiaries (12)'!$B10,Logs!$A$2:$A$500,0)),"")</f>
        <v>8504290819088</v>
      </c>
      <c r="F10" s="73" t="s">
        <v>761</v>
      </c>
      <c r="G10" s="101" t="str">
        <f t="shared" ref="G10:G29" si="0">TheGender(E10)</f>
        <v>F</v>
      </c>
      <c r="H10" s="72" t="s">
        <v>761</v>
      </c>
      <c r="I10" s="74" t="s">
        <v>762</v>
      </c>
      <c r="J10" s="110" t="str">
        <f>IFERROR(INDEX(Logs!$E$2:$E$500,MATCH('Beneficiaries (12)'!$B10,Logs!$A$2:$A$500,0)),"")</f>
        <v>01/06/2023</v>
      </c>
      <c r="K10" s="110" t="str">
        <f>IFERROR(INDEX(Logs!$F$2:$F$500,MATCH('Beneficiaries (12)'!$B10,Logs!$A$2:$A$500,0)),"")</f>
        <v>31/05/2024</v>
      </c>
      <c r="L10" s="111">
        <f>IFERROR(INDEX(Logs!$G$2:$G$500,MATCH('Beneficiaries (12)'!$B10,Logs!$A$2:$A$500,0)),0)</f>
        <v>17</v>
      </c>
      <c r="M10" s="72">
        <v>0</v>
      </c>
      <c r="N10" s="101">
        <f>M10+L10</f>
        <v>17</v>
      </c>
      <c r="O10" s="102">
        <f>IFERROR(INDEX(Logs!$H$2:$H$500,MATCH('Beneficiaries (12)'!$B10,Logs!$A$2:$A$500,0)),)</f>
        <v>204.16</v>
      </c>
      <c r="P10" s="103">
        <f>IFERROR(N10*O10,0)</f>
        <v>3470.72</v>
      </c>
      <c r="Q10" s="95"/>
      <c r="R10" s="114">
        <f>IF('Beneficiaries (10)'!$P$30&gt;0,1,"")</f>
        <v>1</v>
      </c>
    </row>
    <row r="11" spans="1:18" x14ac:dyDescent="0.2">
      <c r="A11" s="100" t="str">
        <f t="shared" ref="A11:A29" si="1">ID_Valid(E11)</f>
        <v>INVALID ID - Length</v>
      </c>
      <c r="B11" s="72">
        <v>222</v>
      </c>
      <c r="C11" s="107" t="str">
        <f>IFERROR(INDEX(Logs!$B$2:$B$500,MATCH('Beneficiaries (12)'!$B11,Logs!$A$2:$A$500,0)),"")</f>
        <v>Denise</v>
      </c>
      <c r="D11" s="107" t="str">
        <f>IFERROR(INDEX(Logs!$C$2:$C$500,MATCH('Beneficiaries (12)'!$B11,Logs!$A$2:$A$500,0)),"")</f>
        <v>Johannes</v>
      </c>
      <c r="E11" s="108" t="str">
        <f>IFERROR(INDEX(Logs!$D$2:$D$500,MATCH('Beneficiaries (12)'!$B11,Logs!$A$2:$A$500,0)),"")</f>
        <v>840213039082</v>
      </c>
      <c r="F11" s="73" t="s">
        <v>761</v>
      </c>
      <c r="G11" s="101" t="str">
        <f t="shared" si="0"/>
        <v/>
      </c>
      <c r="H11" s="72" t="s">
        <v>761</v>
      </c>
      <c r="I11" s="72" t="s">
        <v>762</v>
      </c>
      <c r="J11" s="111" t="str">
        <f>IFERROR(INDEX(Logs!$E$2:$E$500,MATCH('Beneficiaries (12)'!$B11,Logs!$A$2:$A$500,0)),"")</f>
        <v>01/06/2023</v>
      </c>
      <c r="K11" s="111" t="str">
        <f>IFERROR(INDEX(Logs!$F$2:$F$500,MATCH('Beneficiaries (12)'!$B11,Logs!$A$2:$A$500,0)),"")</f>
        <v>31/05/2024</v>
      </c>
      <c r="L11" s="111">
        <f>IFERROR(INDEX(Logs!$G$2:$G$500,MATCH('Beneficiaries (12)'!$B11,Logs!$A$2:$A$500,0)),0)</f>
        <v>17</v>
      </c>
      <c r="M11" s="72">
        <v>0</v>
      </c>
      <c r="N11" s="101">
        <f>L11+M11</f>
        <v>17</v>
      </c>
      <c r="O11" s="102">
        <f>IFERROR(INDEX(Logs!$H$2:$H$500,MATCH('Beneficiaries (12)'!$B11,Logs!$A$2:$A$500,0)),)</f>
        <v>204.16</v>
      </c>
      <c r="P11" s="103">
        <f t="shared" ref="P11:P29" si="2">IFERROR(N11*O11,0)</f>
        <v>3470.72</v>
      </c>
      <c r="Q11" s="95"/>
      <c r="R11" s="114">
        <f>IF('Beneficiaries (11)'!$P$30&gt;0,1,"")</f>
        <v>1</v>
      </c>
    </row>
    <row r="12" spans="1:18" x14ac:dyDescent="0.2">
      <c r="A12" s="100" t="str">
        <f t="shared" si="1"/>
        <v/>
      </c>
      <c r="B12" s="72">
        <v>223</v>
      </c>
      <c r="C12" s="107" t="str">
        <f>IFERROR(INDEX(Logs!$B$2:$B$500,MATCH('Beneficiaries (12)'!$B12,Logs!$A$2:$A$500,0)),"")</f>
        <v>Yoliswa</v>
      </c>
      <c r="D12" s="107" t="str">
        <f>IFERROR(INDEX(Logs!$C$2:$C$500,MATCH('Beneficiaries (12)'!$B12,Logs!$A$2:$A$500,0)),"")</f>
        <v>Phithi</v>
      </c>
      <c r="E12" s="108" t="str">
        <f>IFERROR(INDEX(Logs!$D$2:$D$500,MATCH('Beneficiaries (12)'!$B12,Logs!$A$2:$A$500,0)),"")</f>
        <v>7706250542086</v>
      </c>
      <c r="F12" s="73" t="s">
        <v>761</v>
      </c>
      <c r="G12" s="101" t="str">
        <f t="shared" si="0"/>
        <v>F</v>
      </c>
      <c r="H12" s="72" t="s">
        <v>761</v>
      </c>
      <c r="I12" s="72" t="s">
        <v>762</v>
      </c>
      <c r="J12" s="111" t="str">
        <f>IFERROR(INDEX(Logs!$E$2:$E$500,MATCH('Beneficiaries (12)'!$B12,Logs!$A$2:$A$500,0)),"")</f>
        <v>01/07/2023</v>
      </c>
      <c r="K12" s="111" t="str">
        <f>IFERROR(INDEX(Logs!$F$2:$F$500,MATCH('Beneficiaries (12)'!$B12,Logs!$A$2:$A$500,0)),"")</f>
        <v>30/06/2024</v>
      </c>
      <c r="L12" s="111">
        <f>IFERROR(INDEX(Logs!$G$2:$G$500,MATCH('Beneficiaries (12)'!$B12,Logs!$A$2:$A$500,0)),0)</f>
        <v>17</v>
      </c>
      <c r="M12" s="72">
        <v>0</v>
      </c>
      <c r="N12" s="101">
        <f t="shared" ref="N12:N29" si="3">L12+M12</f>
        <v>17</v>
      </c>
      <c r="O12" s="102">
        <f>IFERROR(INDEX(Logs!$H$2:$H$500,MATCH('Beneficiaries (12)'!$B12,Logs!$A$2:$A$500,0)),)</f>
        <v>204.16</v>
      </c>
      <c r="P12" s="103">
        <f t="shared" si="2"/>
        <v>3470.72</v>
      </c>
      <c r="Q12" s="95"/>
      <c r="R12" s="114">
        <f>IF('Beneficiaries (12)'!$P$30&gt;0,1,"")</f>
        <v>1</v>
      </c>
    </row>
    <row r="13" spans="1:18" x14ac:dyDescent="0.2">
      <c r="A13" s="100" t="str">
        <f t="shared" si="1"/>
        <v/>
      </c>
      <c r="B13" s="72">
        <v>224</v>
      </c>
      <c r="C13" s="107" t="str">
        <f>IFERROR(INDEX(Logs!$B$2:$B$500,MATCH('Beneficiaries (12)'!$B13,Logs!$A$2:$A$500,0)),"")</f>
        <v>Xoliswa</v>
      </c>
      <c r="D13" s="107" t="str">
        <f>IFERROR(INDEX(Logs!$C$2:$C$500,MATCH('Beneficiaries (12)'!$B13,Logs!$A$2:$A$500,0)),"")</f>
        <v>Duba-Sipeliti</v>
      </c>
      <c r="E13" s="108" t="str">
        <f>IFERROR(INDEX(Logs!$D$2:$D$500,MATCH('Beneficiaries (12)'!$B13,Logs!$A$2:$A$500,0)),"")</f>
        <v>7310102609084</v>
      </c>
      <c r="F13" s="73" t="s">
        <v>761</v>
      </c>
      <c r="G13" s="101" t="str">
        <f t="shared" si="0"/>
        <v>F</v>
      </c>
      <c r="H13" s="72" t="s">
        <v>761</v>
      </c>
      <c r="I13" s="72" t="s">
        <v>762</v>
      </c>
      <c r="J13" s="111" t="str">
        <f>IFERROR(INDEX(Logs!$E$2:$E$500,MATCH('Beneficiaries (12)'!$B13,Logs!$A$2:$A$500,0)),"")</f>
        <v>01/07/2023</v>
      </c>
      <c r="K13" s="111" t="str">
        <f>IFERROR(INDEX(Logs!$F$2:$F$500,MATCH('Beneficiaries (12)'!$B13,Logs!$A$2:$A$500,0)),"")</f>
        <v>30/06/2024</v>
      </c>
      <c r="L13" s="111">
        <f>IFERROR(INDEX(Logs!$G$2:$G$500,MATCH('Beneficiaries (12)'!$B13,Logs!$A$2:$A$500,0)),0)</f>
        <v>17</v>
      </c>
      <c r="M13" s="72">
        <v>0</v>
      </c>
      <c r="N13" s="101">
        <f t="shared" si="3"/>
        <v>17</v>
      </c>
      <c r="O13" s="102">
        <f>IFERROR(INDEX(Logs!$H$2:$H$500,MATCH('Beneficiaries (12)'!$B13,Logs!$A$2:$A$500,0)),)</f>
        <v>204.16</v>
      </c>
      <c r="P13" s="103">
        <f t="shared" si="2"/>
        <v>3470.72</v>
      </c>
      <c r="Q13" s="95"/>
      <c r="R13" s="114">
        <f>IF('Beneficiaries (13)'!$P$30&gt;0,1,"")</f>
        <v>1</v>
      </c>
    </row>
    <row r="14" spans="1:18" x14ac:dyDescent="0.2">
      <c r="A14" s="100" t="str">
        <f t="shared" si="1"/>
        <v/>
      </c>
      <c r="B14" s="72">
        <v>225</v>
      </c>
      <c r="C14" s="107" t="str">
        <f>IFERROR(INDEX(Logs!$B$2:$B$500,MATCH('Beneficiaries (12)'!$B14,Logs!$A$2:$A$500,0)),"")</f>
        <v>Nowongile</v>
      </c>
      <c r="D14" s="107" t="str">
        <f>IFERROR(INDEX(Logs!$C$2:$C$500,MATCH('Beneficiaries (12)'!$B14,Logs!$A$2:$A$500,0)),"")</f>
        <v>Yako</v>
      </c>
      <c r="E14" s="108" t="str">
        <f>IFERROR(INDEX(Logs!$D$2:$D$500,MATCH('Beneficiaries (12)'!$B14,Logs!$A$2:$A$500,0)),"")</f>
        <v>7107060898083</v>
      </c>
      <c r="F14" s="73" t="s">
        <v>761</v>
      </c>
      <c r="G14" s="101" t="str">
        <f t="shared" si="0"/>
        <v>F</v>
      </c>
      <c r="H14" s="72" t="s">
        <v>761</v>
      </c>
      <c r="I14" s="72" t="s">
        <v>762</v>
      </c>
      <c r="J14" s="111" t="str">
        <f>IFERROR(INDEX(Logs!$E$2:$E$500,MATCH('Beneficiaries (12)'!$B14,Logs!$A$2:$A$500,0)),"")</f>
        <v>01/07/2023</v>
      </c>
      <c r="K14" s="111" t="str">
        <f>IFERROR(INDEX(Logs!$F$2:$F$500,MATCH('Beneficiaries (12)'!$B14,Logs!$A$2:$A$500,0)),"")</f>
        <v>30/06/2024</v>
      </c>
      <c r="L14" s="111">
        <f>IFERROR(INDEX(Logs!$G$2:$G$500,MATCH('Beneficiaries (12)'!$B14,Logs!$A$2:$A$500,0)),0)</f>
        <v>17</v>
      </c>
      <c r="M14" s="72">
        <v>0</v>
      </c>
      <c r="N14" s="101">
        <f t="shared" si="3"/>
        <v>17</v>
      </c>
      <c r="O14" s="102">
        <f>IFERROR(INDEX(Logs!$H$2:$H$500,MATCH('Beneficiaries (12)'!$B14,Logs!$A$2:$A$500,0)),)</f>
        <v>204.16</v>
      </c>
      <c r="P14" s="103">
        <f t="shared" si="2"/>
        <v>3470.72</v>
      </c>
      <c r="Q14" s="95"/>
      <c r="R14" s="114">
        <f>IF('Beneficiaries (14)'!$P$30&gt;0,1,"")</f>
        <v>1</v>
      </c>
    </row>
    <row r="15" spans="1:18" x14ac:dyDescent="0.2">
      <c r="A15" s="100" t="str">
        <f t="shared" si="1"/>
        <v/>
      </c>
      <c r="B15" s="72">
        <v>226</v>
      </c>
      <c r="C15" s="107" t="str">
        <f>IFERROR(INDEX(Logs!$B$2:$B$500,MATCH('Beneficiaries (12)'!$B15,Logs!$A$2:$A$500,0)),"")</f>
        <v>Unathi</v>
      </c>
      <c r="D15" s="107" t="str">
        <f>IFERROR(INDEX(Logs!$C$2:$C$500,MATCH('Beneficiaries (12)'!$B15,Logs!$A$2:$A$500,0)),"")</f>
        <v>Mangisa</v>
      </c>
      <c r="E15" s="108" t="str">
        <f>IFERROR(INDEX(Logs!$D$2:$D$500,MATCH('Beneficiaries (12)'!$B15,Logs!$A$2:$A$500,0)),"")</f>
        <v>0306130761084</v>
      </c>
      <c r="F15" s="73" t="s">
        <v>761</v>
      </c>
      <c r="G15" s="101" t="str">
        <f t="shared" si="0"/>
        <v>F</v>
      </c>
      <c r="H15" s="72" t="s">
        <v>761</v>
      </c>
      <c r="I15" s="72" t="s">
        <v>762</v>
      </c>
      <c r="J15" s="111" t="str">
        <f>IFERROR(INDEX(Logs!$E$2:$E$500,MATCH('Beneficiaries (12)'!$B15,Logs!$A$2:$A$500,0)),"")</f>
        <v>01/07/2023</v>
      </c>
      <c r="K15" s="111" t="str">
        <f>IFERROR(INDEX(Logs!$F$2:$F$500,MATCH('Beneficiaries (12)'!$B15,Logs!$A$2:$A$500,0)),"")</f>
        <v>30/06/2024</v>
      </c>
      <c r="L15" s="111">
        <f>IFERROR(INDEX(Logs!$G$2:$G$500,MATCH('Beneficiaries (12)'!$B15,Logs!$A$2:$A$500,0)),0)</f>
        <v>22</v>
      </c>
      <c r="M15" s="72">
        <v>0</v>
      </c>
      <c r="N15" s="101">
        <f t="shared" si="3"/>
        <v>22</v>
      </c>
      <c r="O15" s="102">
        <f>IFERROR(INDEX(Logs!$H$2:$H$500,MATCH('Beneficiaries (12)'!$B15,Logs!$A$2:$A$500,0)),)</f>
        <v>204.16</v>
      </c>
      <c r="P15" s="103">
        <f t="shared" si="2"/>
        <v>4491.5199999999995</v>
      </c>
      <c r="Q15" s="95"/>
      <c r="R15" s="115"/>
    </row>
    <row r="16" spans="1:18" x14ac:dyDescent="0.2">
      <c r="A16" s="100" t="str">
        <f t="shared" si="1"/>
        <v/>
      </c>
      <c r="B16" s="72">
        <v>227</v>
      </c>
      <c r="C16" s="107" t="str">
        <f>IFERROR(INDEX(Logs!$B$2:$B$500,MATCH('Beneficiaries (12)'!$B16,Logs!$A$2:$A$500,0)),"")</f>
        <v>Pamela</v>
      </c>
      <c r="D16" s="107" t="str">
        <f>IFERROR(INDEX(Logs!$C$2:$C$500,MATCH('Beneficiaries (12)'!$B16,Logs!$A$2:$A$500,0)),"")</f>
        <v>Twasile</v>
      </c>
      <c r="E16" s="108" t="str">
        <f>IFERROR(INDEX(Logs!$D$2:$D$500,MATCH('Beneficiaries (12)'!$B16,Logs!$A$2:$A$500,0)),"")</f>
        <v>8401011225085</v>
      </c>
      <c r="F16" s="73" t="s">
        <v>761</v>
      </c>
      <c r="G16" s="101" t="str">
        <f t="shared" si="0"/>
        <v>F</v>
      </c>
      <c r="H16" s="72" t="s">
        <v>761</v>
      </c>
      <c r="I16" s="72" t="s">
        <v>762</v>
      </c>
      <c r="J16" s="111" t="str">
        <f>IFERROR(INDEX(Logs!$E$2:$E$500,MATCH('Beneficiaries (12)'!$B16,Logs!$A$2:$A$500,0)),"")</f>
        <v>01/07/2023</v>
      </c>
      <c r="K16" s="111" t="str">
        <f>IFERROR(INDEX(Logs!$F$2:$F$500,MATCH('Beneficiaries (12)'!$B16,Logs!$A$2:$A$500,0)),"")</f>
        <v>30/06/2024</v>
      </c>
      <c r="L16" s="111">
        <f>IFERROR(INDEX(Logs!$G$2:$G$500,MATCH('Beneficiaries (12)'!$B16,Logs!$A$2:$A$500,0)),0)</f>
        <v>22</v>
      </c>
      <c r="M16" s="72">
        <v>0</v>
      </c>
      <c r="N16" s="101">
        <f t="shared" si="3"/>
        <v>22</v>
      </c>
      <c r="O16" s="102">
        <f>IFERROR(INDEX(Logs!$H$2:$H$500,MATCH('Beneficiaries (12)'!$B16,Logs!$A$2:$A$500,0)),)</f>
        <v>204.16</v>
      </c>
      <c r="P16" s="103">
        <f t="shared" si="2"/>
        <v>4491.5199999999995</v>
      </c>
      <c r="Q16" s="95"/>
      <c r="R16" s="115"/>
    </row>
    <row r="17" spans="1:18" x14ac:dyDescent="0.2">
      <c r="A17" s="100" t="str">
        <f t="shared" si="1"/>
        <v/>
      </c>
      <c r="B17" s="72">
        <v>228</v>
      </c>
      <c r="C17" s="107" t="str">
        <f>IFERROR(INDEX(Logs!$B$2:$B$500,MATCH('Beneficiaries (12)'!$B17,Logs!$A$2:$A$500,0)),"")</f>
        <v>Matthew</v>
      </c>
      <c r="D17" s="107" t="str">
        <f>IFERROR(INDEX(Logs!$C$2:$C$500,MATCH('Beneficiaries (12)'!$B17,Logs!$A$2:$A$500,0)),"")</f>
        <v>Grace</v>
      </c>
      <c r="E17" s="108" t="str">
        <f>IFERROR(INDEX(Logs!$D$2:$D$500,MATCH('Beneficiaries (12)'!$B17,Logs!$A$2:$A$500,0)),"")</f>
        <v>7708235127082</v>
      </c>
      <c r="F17" s="73" t="s">
        <v>761</v>
      </c>
      <c r="G17" s="101" t="str">
        <f t="shared" si="0"/>
        <v>M</v>
      </c>
      <c r="H17" s="72" t="s">
        <v>761</v>
      </c>
      <c r="I17" s="72" t="s">
        <v>762</v>
      </c>
      <c r="J17" s="111" t="str">
        <f>IFERROR(INDEX(Logs!$E$2:$E$500,MATCH('Beneficiaries (12)'!$B17,Logs!$A$2:$A$500,0)),"")</f>
        <v>01/07/2023</v>
      </c>
      <c r="K17" s="111" t="str">
        <f>IFERROR(INDEX(Logs!$F$2:$F$500,MATCH('Beneficiaries (12)'!$B17,Logs!$A$2:$A$500,0)),"")</f>
        <v>30/06/2024</v>
      </c>
      <c r="L17" s="111">
        <f>IFERROR(INDEX(Logs!$G$2:$G$500,MATCH('Beneficiaries (12)'!$B17,Logs!$A$2:$A$500,0)),0)</f>
        <v>17</v>
      </c>
      <c r="M17" s="72">
        <v>0</v>
      </c>
      <c r="N17" s="101">
        <f t="shared" si="3"/>
        <v>17</v>
      </c>
      <c r="O17" s="102">
        <f>IFERROR(INDEX(Logs!$H$2:$H$500,MATCH('Beneficiaries (12)'!$B17,Logs!$A$2:$A$500,0)),)</f>
        <v>204.16</v>
      </c>
      <c r="P17" s="103">
        <f t="shared" si="2"/>
        <v>3470.72</v>
      </c>
      <c r="Q17" s="95"/>
      <c r="R17" s="115"/>
    </row>
    <row r="18" spans="1:18" x14ac:dyDescent="0.2">
      <c r="A18" s="100" t="str">
        <f t="shared" si="1"/>
        <v/>
      </c>
      <c r="B18" s="72">
        <v>229</v>
      </c>
      <c r="C18" s="107" t="str">
        <f>IFERROR(INDEX(Logs!$B$2:$B$500,MATCH('Beneficiaries (12)'!$B18,Logs!$A$2:$A$500,0)),"")</f>
        <v>Lindelwa</v>
      </c>
      <c r="D18" s="107" t="str">
        <f>IFERROR(INDEX(Logs!$C$2:$C$500,MATCH('Beneficiaries (12)'!$B18,Logs!$A$2:$A$500,0)),"")</f>
        <v xml:space="preserve">Shiba </v>
      </c>
      <c r="E18" s="108" t="str">
        <f>IFERROR(INDEX(Logs!$D$2:$D$500,MATCH('Beneficiaries (12)'!$B18,Logs!$A$2:$A$500,0)),"")</f>
        <v>8011180556085</v>
      </c>
      <c r="F18" s="73" t="s">
        <v>761</v>
      </c>
      <c r="G18" s="101" t="str">
        <f t="shared" si="0"/>
        <v>F</v>
      </c>
      <c r="H18" s="72" t="s">
        <v>761</v>
      </c>
      <c r="I18" s="72" t="s">
        <v>762</v>
      </c>
      <c r="J18" s="111" t="str">
        <f>IFERROR(INDEX(Logs!$E$2:$E$500,MATCH('Beneficiaries (12)'!$B18,Logs!$A$2:$A$500,0)),"")</f>
        <v>01/07/2023</v>
      </c>
      <c r="K18" s="111" t="str">
        <f>IFERROR(INDEX(Logs!$F$2:$F$500,MATCH('Beneficiaries (12)'!$B18,Logs!$A$2:$A$500,0)),"")</f>
        <v>30/06/2024</v>
      </c>
      <c r="L18" s="111">
        <f>IFERROR(INDEX(Logs!$G$2:$G$500,MATCH('Beneficiaries (12)'!$B18,Logs!$A$2:$A$500,0)),0)</f>
        <v>22</v>
      </c>
      <c r="M18" s="72">
        <v>0</v>
      </c>
      <c r="N18" s="101">
        <f t="shared" si="3"/>
        <v>22</v>
      </c>
      <c r="O18" s="102">
        <f>IFERROR(INDEX(Logs!$H$2:$H$500,MATCH('Beneficiaries (12)'!$B18,Logs!$A$2:$A$500,0)),)</f>
        <v>204.16</v>
      </c>
      <c r="P18" s="103">
        <f t="shared" si="2"/>
        <v>4491.5199999999995</v>
      </c>
      <c r="Q18" s="95"/>
      <c r="R18" s="115"/>
    </row>
    <row r="19" spans="1:18" x14ac:dyDescent="0.2">
      <c r="A19" s="100" t="str">
        <f t="shared" si="1"/>
        <v/>
      </c>
      <c r="B19" s="72">
        <v>230</v>
      </c>
      <c r="C19" s="107" t="str">
        <f>IFERROR(INDEX(Logs!$B$2:$B$500,MATCH('Beneficiaries (12)'!$B19,Logs!$A$2:$A$500,0)),"")</f>
        <v>Neliswa</v>
      </c>
      <c r="D19" s="107" t="str">
        <f>IFERROR(INDEX(Logs!$C$2:$C$500,MATCH('Beneficiaries (12)'!$B19,Logs!$A$2:$A$500,0)),"")</f>
        <v>Sokhetye</v>
      </c>
      <c r="E19" s="108" t="str">
        <f>IFERROR(INDEX(Logs!$D$2:$D$500,MATCH('Beneficiaries (12)'!$B19,Logs!$A$2:$A$500,0)),"")</f>
        <v>9110011348081</v>
      </c>
      <c r="F19" s="73" t="s">
        <v>761</v>
      </c>
      <c r="G19" s="101" t="str">
        <f t="shared" si="0"/>
        <v>F</v>
      </c>
      <c r="H19" s="72" t="s">
        <v>761</v>
      </c>
      <c r="I19" s="72" t="s">
        <v>762</v>
      </c>
      <c r="J19" s="111" t="str">
        <f>IFERROR(INDEX(Logs!$E$2:$E$500,MATCH('Beneficiaries (12)'!$B19,Logs!$A$2:$A$500,0)),"")</f>
        <v>01/07/2023</v>
      </c>
      <c r="K19" s="111" t="str">
        <f>IFERROR(INDEX(Logs!$F$2:$F$500,MATCH('Beneficiaries (12)'!$B19,Logs!$A$2:$A$500,0)),"")</f>
        <v>30/06/2024</v>
      </c>
      <c r="L19" s="111">
        <f>IFERROR(INDEX(Logs!$G$2:$G$500,MATCH('Beneficiaries (12)'!$B19,Logs!$A$2:$A$500,0)),0)</f>
        <v>22</v>
      </c>
      <c r="M19" s="72">
        <v>0</v>
      </c>
      <c r="N19" s="101">
        <f t="shared" si="3"/>
        <v>22</v>
      </c>
      <c r="O19" s="102">
        <f>IFERROR(INDEX(Logs!$H$2:$H$500,MATCH('Beneficiaries (12)'!$B19,Logs!$A$2:$A$500,0)),)</f>
        <v>204.16</v>
      </c>
      <c r="P19" s="103">
        <f t="shared" si="2"/>
        <v>4491.5199999999995</v>
      </c>
      <c r="Q19" s="95"/>
      <c r="R19" s="115"/>
    </row>
    <row r="20" spans="1:18" x14ac:dyDescent="0.2">
      <c r="A20" s="100" t="str">
        <f t="shared" si="1"/>
        <v/>
      </c>
      <c r="B20" s="72">
        <v>231</v>
      </c>
      <c r="C20" s="107" t="str">
        <f>IFERROR(INDEX(Logs!$B$2:$B$500,MATCH('Beneficiaries (12)'!$B20,Logs!$A$2:$A$500,0)),"")</f>
        <v>Olwethu</v>
      </c>
      <c r="D20" s="107" t="str">
        <f>IFERROR(INDEX(Logs!$C$2:$C$500,MATCH('Beneficiaries (12)'!$B20,Logs!$A$2:$A$500,0)),"")</f>
        <v>Ngxata</v>
      </c>
      <c r="E20" s="108" t="str">
        <f>IFERROR(INDEX(Logs!$D$2:$D$500,MATCH('Beneficiaries (12)'!$B20,Logs!$A$2:$A$500,0)),"")</f>
        <v>9111170987081</v>
      </c>
      <c r="F20" s="73" t="s">
        <v>761</v>
      </c>
      <c r="G20" s="101" t="str">
        <f t="shared" si="0"/>
        <v>F</v>
      </c>
      <c r="H20" s="72" t="s">
        <v>761</v>
      </c>
      <c r="I20" s="72" t="s">
        <v>762</v>
      </c>
      <c r="J20" s="111" t="str">
        <f>IFERROR(INDEX(Logs!$E$2:$E$500,MATCH('Beneficiaries (12)'!$B20,Logs!$A$2:$A$500,0)),"")</f>
        <v>01/07/2023</v>
      </c>
      <c r="K20" s="111" t="str">
        <f>IFERROR(INDEX(Logs!$F$2:$F$500,MATCH('Beneficiaries (12)'!$B20,Logs!$A$2:$A$500,0)),"")</f>
        <v>30/06/2024</v>
      </c>
      <c r="L20" s="111">
        <f>IFERROR(INDEX(Logs!$G$2:$G$500,MATCH('Beneficiaries (12)'!$B20,Logs!$A$2:$A$500,0)),0)</f>
        <v>22</v>
      </c>
      <c r="M20" s="72">
        <v>0</v>
      </c>
      <c r="N20" s="101">
        <f t="shared" si="3"/>
        <v>22</v>
      </c>
      <c r="O20" s="102">
        <f>IFERROR(INDEX(Logs!$H$2:$H$500,MATCH('Beneficiaries (12)'!$B20,Logs!$A$2:$A$500,0)),)</f>
        <v>204.16</v>
      </c>
      <c r="P20" s="103">
        <f t="shared" si="2"/>
        <v>4491.5199999999995</v>
      </c>
      <c r="Q20" s="95"/>
    </row>
    <row r="21" spans="1:18" x14ac:dyDescent="0.2">
      <c r="A21" s="100" t="str">
        <f t="shared" si="1"/>
        <v/>
      </c>
      <c r="B21" s="72">
        <v>232</v>
      </c>
      <c r="C21" s="107" t="str">
        <f>IFERROR(INDEX(Logs!$B$2:$B$500,MATCH('Beneficiaries (12)'!$B21,Logs!$A$2:$A$500,0)),"")</f>
        <v xml:space="preserve">Candice </v>
      </c>
      <c r="D21" s="107" t="str">
        <f>IFERROR(INDEX(Logs!$C$2:$C$500,MATCH('Beneficiaries (12)'!$B21,Logs!$A$2:$A$500,0)),"")</f>
        <v>Baker</v>
      </c>
      <c r="E21" s="108" t="str">
        <f>IFERROR(INDEX(Logs!$D$2:$D$500,MATCH('Beneficiaries (12)'!$B21,Logs!$A$2:$A$500,0)),"")</f>
        <v>8812301020087</v>
      </c>
      <c r="F21" s="73" t="s">
        <v>761</v>
      </c>
      <c r="G21" s="101" t="str">
        <f t="shared" si="0"/>
        <v>F</v>
      </c>
      <c r="H21" s="72" t="s">
        <v>761</v>
      </c>
      <c r="I21" s="72" t="s">
        <v>762</v>
      </c>
      <c r="J21" s="111" t="str">
        <f>IFERROR(INDEX(Logs!$E$2:$E$500,MATCH('Beneficiaries (12)'!$B21,Logs!$A$2:$A$500,0)),"")</f>
        <v>01/07/2023</v>
      </c>
      <c r="K21" s="111" t="str">
        <f>IFERROR(INDEX(Logs!$F$2:$F$500,MATCH('Beneficiaries (12)'!$B21,Logs!$A$2:$A$500,0)),"")</f>
        <v>30/06/2024</v>
      </c>
      <c r="L21" s="111">
        <f>IFERROR(INDEX(Logs!$G$2:$G$500,MATCH('Beneficiaries (12)'!$B21,Logs!$A$2:$A$500,0)),0)</f>
        <v>22</v>
      </c>
      <c r="M21" s="72">
        <v>0</v>
      </c>
      <c r="N21" s="101">
        <f t="shared" si="3"/>
        <v>22</v>
      </c>
      <c r="O21" s="102">
        <f>IFERROR(INDEX(Logs!$H$2:$H$500,MATCH('Beneficiaries (12)'!$B21,Logs!$A$2:$A$500,0)),)</f>
        <v>204.16</v>
      </c>
      <c r="P21" s="103">
        <f t="shared" si="2"/>
        <v>4491.5199999999995</v>
      </c>
      <c r="Q21" s="95"/>
    </row>
    <row r="22" spans="1:18" x14ac:dyDescent="0.2">
      <c r="A22" s="100" t="str">
        <f t="shared" si="1"/>
        <v/>
      </c>
      <c r="B22" s="72">
        <v>233</v>
      </c>
      <c r="C22" s="109" t="str">
        <f>IFERROR(INDEX(Logs!$B$2:$B$500,MATCH('Beneficiaries (12)'!$B22,Logs!$A$2:$A$500,0)),"")</f>
        <v>Unathi</v>
      </c>
      <c r="D22" s="107" t="str">
        <f>IFERROR(INDEX(Logs!$C$2:$C$500,MATCH('Beneficiaries (12)'!$B22,Logs!$A$2:$A$500,0)),"")</f>
        <v>Mbete</v>
      </c>
      <c r="E22" s="108" t="str">
        <f>IFERROR(INDEX(Logs!$D$2:$D$500,MATCH('Beneficiaries (12)'!$B22,Logs!$A$2:$A$500,0)),"")</f>
        <v>8204020960084</v>
      </c>
      <c r="F22" s="73" t="s">
        <v>761</v>
      </c>
      <c r="G22" s="101" t="str">
        <f t="shared" si="0"/>
        <v>F</v>
      </c>
      <c r="H22" s="72" t="s">
        <v>761</v>
      </c>
      <c r="I22" s="72" t="s">
        <v>762</v>
      </c>
      <c r="J22" s="111" t="str">
        <f>IFERROR(INDEX(Logs!$E$2:$E$500,MATCH('Beneficiaries (12)'!$B22,Logs!$A$2:$A$500,0)),"")</f>
        <v>03/07/2023</v>
      </c>
      <c r="K22" s="111" t="str">
        <f>IFERROR(INDEX(Logs!$F$2:$F$500,MATCH('Beneficiaries (12)'!$B22,Logs!$A$2:$A$500,0)),"")</f>
        <v>30/06/2024</v>
      </c>
      <c r="L22" s="111">
        <f>IFERROR(INDEX(Logs!$G$2:$G$500,MATCH('Beneficiaries (12)'!$B22,Logs!$A$2:$A$500,0)),0)</f>
        <v>16</v>
      </c>
      <c r="M22" s="72">
        <v>0</v>
      </c>
      <c r="N22" s="101">
        <f t="shared" si="3"/>
        <v>16</v>
      </c>
      <c r="O22" s="102">
        <f>IFERROR(INDEX(Logs!$H$2:$H$500,MATCH('Beneficiaries (12)'!$B22,Logs!$A$2:$A$500,0)),)</f>
        <v>204.16</v>
      </c>
      <c r="P22" s="103">
        <f t="shared" si="2"/>
        <v>3266.56</v>
      </c>
      <c r="Q22" s="95"/>
    </row>
    <row r="23" spans="1:18" x14ac:dyDescent="0.2">
      <c r="A23" s="100" t="str">
        <f t="shared" si="1"/>
        <v/>
      </c>
      <c r="B23" s="72">
        <v>234</v>
      </c>
      <c r="C23" s="109" t="str">
        <f>IFERROR(INDEX(Logs!$B$2:$B$500,MATCH('Beneficiaries (12)'!$B23,Logs!$A$2:$A$500,0)),"")</f>
        <v>Ndimphiwe</v>
      </c>
      <c r="D23" s="107" t="str">
        <f>IFERROR(INDEX(Logs!$C$2:$C$500,MATCH('Beneficiaries (12)'!$B23,Logs!$A$2:$A$500,0)),"")</f>
        <v>Mdunyelwa</v>
      </c>
      <c r="E23" s="108" t="str">
        <f>IFERROR(INDEX(Logs!$D$2:$D$500,MATCH('Beneficiaries (12)'!$B23,Logs!$A$2:$A$500,0)),"")</f>
        <v>8905046199081</v>
      </c>
      <c r="F23" s="73" t="s">
        <v>761</v>
      </c>
      <c r="G23" s="101" t="str">
        <f t="shared" si="0"/>
        <v>M</v>
      </c>
      <c r="H23" s="72" t="s">
        <v>761</v>
      </c>
      <c r="I23" s="72" t="s">
        <v>762</v>
      </c>
      <c r="J23" s="111" t="str">
        <f>IFERROR(INDEX(Logs!$E$2:$E$500,MATCH('Beneficiaries (12)'!$B23,Logs!$A$2:$A$500,0)),"")</f>
        <v>06/07/2023</v>
      </c>
      <c r="K23" s="111" t="str">
        <f>IFERROR(INDEX(Logs!$F$2:$F$500,MATCH('Beneficiaries (12)'!$B23,Logs!$A$2:$A$500,0)),"")</f>
        <v>30/06/2024</v>
      </c>
      <c r="L23" s="111">
        <f>IFERROR(INDEX(Logs!$G$2:$G$500,MATCH('Beneficiaries (12)'!$B23,Logs!$A$2:$A$500,0)),0)</f>
        <v>16</v>
      </c>
      <c r="M23" s="72">
        <v>0</v>
      </c>
      <c r="N23" s="101">
        <f t="shared" si="3"/>
        <v>16</v>
      </c>
      <c r="O23" s="102">
        <f>IFERROR(INDEX(Logs!$H$2:$H$500,MATCH('Beneficiaries (12)'!$B23,Logs!$A$2:$A$500,0)),)</f>
        <v>204.16</v>
      </c>
      <c r="P23" s="103">
        <f t="shared" si="2"/>
        <v>3266.56</v>
      </c>
      <c r="Q23" s="95"/>
    </row>
    <row r="24" spans="1:18" x14ac:dyDescent="0.2">
      <c r="A24" s="100" t="str">
        <f t="shared" si="1"/>
        <v>INVALID ID - Check Digit</v>
      </c>
      <c r="B24" s="72">
        <v>235</v>
      </c>
      <c r="C24" s="109" t="str">
        <f>IFERROR(INDEX(Logs!$B$2:$B$500,MATCH('Beneficiaries (12)'!$B24,Logs!$A$2:$A$500,0)),"")</f>
        <v>Siyamthemba</v>
      </c>
      <c r="D24" s="107" t="str">
        <f>IFERROR(INDEX(Logs!$C$2:$C$500,MATCH('Beneficiaries (12)'!$B24,Logs!$A$2:$A$500,0)),"")</f>
        <v>Nomvethe</v>
      </c>
      <c r="E24" s="108" t="str">
        <f>IFERROR(INDEX(Logs!$D$2:$D$500,MATCH('Beneficiaries (12)'!$B24,Logs!$A$2:$A$500,0)),"")</f>
        <v>9206020526081</v>
      </c>
      <c r="F24" s="73" t="s">
        <v>761</v>
      </c>
      <c r="G24" s="101" t="str">
        <f t="shared" si="0"/>
        <v>F</v>
      </c>
      <c r="H24" s="72" t="s">
        <v>761</v>
      </c>
      <c r="I24" s="72" t="s">
        <v>762</v>
      </c>
      <c r="J24" s="111" t="str">
        <f>IFERROR(INDEX(Logs!$E$2:$E$500,MATCH('Beneficiaries (12)'!$B24,Logs!$A$2:$A$500,0)),"")</f>
        <v>03/07/2023</v>
      </c>
      <c r="K24" s="111" t="str">
        <f>IFERROR(INDEX(Logs!$F$2:$F$500,MATCH('Beneficiaries (12)'!$B24,Logs!$A$2:$A$500,0)),"")</f>
        <v>30/06/2024</v>
      </c>
      <c r="L24" s="111">
        <f>IFERROR(INDEX(Logs!$G$2:$G$500,MATCH('Beneficiaries (12)'!$B24,Logs!$A$2:$A$500,0)),0)</f>
        <v>16</v>
      </c>
      <c r="M24" s="72">
        <v>0</v>
      </c>
      <c r="N24" s="101">
        <f t="shared" si="3"/>
        <v>16</v>
      </c>
      <c r="O24" s="102">
        <f>IFERROR(INDEX(Logs!$H$2:$H$500,MATCH('Beneficiaries (12)'!$B24,Logs!$A$2:$A$500,0)),)</f>
        <v>204.16</v>
      </c>
      <c r="P24" s="103">
        <f t="shared" si="2"/>
        <v>3266.56</v>
      </c>
      <c r="Q24" s="95"/>
    </row>
    <row r="25" spans="1:18" x14ac:dyDescent="0.2">
      <c r="A25" s="100" t="str">
        <f t="shared" si="1"/>
        <v/>
      </c>
      <c r="B25" s="72">
        <v>236</v>
      </c>
      <c r="C25" s="110" t="str">
        <f>IFERROR(INDEX(Logs!$B$2:$B$500,MATCH('Beneficiaries (12)'!$B25,Logs!$A$2:$A$500,0)),"")</f>
        <v>Phindile</v>
      </c>
      <c r="D25" s="107" t="str">
        <f>IFERROR(INDEX(Logs!$C$2:$C$500,MATCH('Beneficiaries (12)'!$B25,Logs!$A$2:$A$500,0)),"")</f>
        <v>Fothoyi</v>
      </c>
      <c r="E25" s="108" t="str">
        <f>IFERROR(INDEX(Logs!$D$2:$D$500,MATCH('Beneficiaries (12)'!$B25,Logs!$A$2:$A$500,0)),"")</f>
        <v>8809126576087</v>
      </c>
      <c r="F25" s="73" t="s">
        <v>761</v>
      </c>
      <c r="G25" s="101" t="str">
        <f t="shared" si="0"/>
        <v>M</v>
      </c>
      <c r="H25" s="72" t="s">
        <v>761</v>
      </c>
      <c r="I25" s="72" t="s">
        <v>762</v>
      </c>
      <c r="J25" s="111" t="str">
        <f>IFERROR(INDEX(Logs!$E$2:$E$500,MATCH('Beneficiaries (12)'!$B25,Logs!$A$2:$A$500,0)),"")</f>
        <v>03/07/2023</v>
      </c>
      <c r="K25" s="111" t="str">
        <f>IFERROR(INDEX(Logs!$F$2:$F$500,MATCH('Beneficiaries (12)'!$B25,Logs!$A$2:$A$500,0)),"")</f>
        <v>30/06/2024</v>
      </c>
      <c r="L25" s="111">
        <f>IFERROR(INDEX(Logs!$G$2:$G$500,MATCH('Beneficiaries (12)'!$B25,Logs!$A$2:$A$500,0)),0)</f>
        <v>16</v>
      </c>
      <c r="M25" s="72">
        <v>0</v>
      </c>
      <c r="N25" s="101">
        <f t="shared" si="3"/>
        <v>16</v>
      </c>
      <c r="O25" s="102">
        <f>IFERROR(INDEX(Logs!$H$2:$H$500,MATCH('Beneficiaries (12)'!$B25,Logs!$A$2:$A$500,0)),)</f>
        <v>204.16</v>
      </c>
      <c r="P25" s="103">
        <f t="shared" si="2"/>
        <v>3266.56</v>
      </c>
      <c r="Q25" s="95"/>
    </row>
    <row r="26" spans="1:18" x14ac:dyDescent="0.2">
      <c r="A26" s="100" t="str">
        <f t="shared" si="1"/>
        <v/>
      </c>
      <c r="B26" s="72">
        <v>237</v>
      </c>
      <c r="C26" s="110" t="str">
        <f>IFERROR(INDEX(Logs!$B$2:$B$500,MATCH('Beneficiaries (12)'!$B26,Logs!$A$2:$A$500,0)),"")</f>
        <v>Zoliswa</v>
      </c>
      <c r="D26" s="107" t="str">
        <f>IFERROR(INDEX(Logs!$C$2:$C$500,MATCH('Beneficiaries (12)'!$B26,Logs!$A$2:$A$500,0)),"")</f>
        <v>Ndamase</v>
      </c>
      <c r="E26" s="108" t="str">
        <f>IFERROR(INDEX(Logs!$D$2:$D$500,MATCH('Beneficiaries (12)'!$B26,Logs!$A$2:$A$500,0)),"")</f>
        <v>8809051676084</v>
      </c>
      <c r="F26" s="73" t="s">
        <v>761</v>
      </c>
      <c r="G26" s="101" t="str">
        <f t="shared" si="0"/>
        <v>F</v>
      </c>
      <c r="H26" s="72" t="s">
        <v>761</v>
      </c>
      <c r="I26" s="72" t="s">
        <v>762</v>
      </c>
      <c r="J26" s="111" t="str">
        <f>IFERROR(INDEX(Logs!$E$2:$E$500,MATCH('Beneficiaries (12)'!$B26,Logs!$A$2:$A$500,0)),"")</f>
        <v>03/07/2023</v>
      </c>
      <c r="K26" s="111" t="str">
        <f>IFERROR(INDEX(Logs!$F$2:$F$500,MATCH('Beneficiaries (12)'!$B26,Logs!$A$2:$A$500,0)),"")</f>
        <v>30/06/2024</v>
      </c>
      <c r="L26" s="111">
        <f>IFERROR(INDEX(Logs!$G$2:$G$500,MATCH('Beneficiaries (12)'!$B26,Logs!$A$2:$A$500,0)),0)</f>
        <v>16</v>
      </c>
      <c r="M26" s="72">
        <v>0</v>
      </c>
      <c r="N26" s="101">
        <f t="shared" si="3"/>
        <v>16</v>
      </c>
      <c r="O26" s="102">
        <f>IFERROR(INDEX(Logs!$H$2:$H$500,MATCH('Beneficiaries (12)'!$B26,Logs!$A$2:$A$500,0)),)</f>
        <v>204.16</v>
      </c>
      <c r="P26" s="103">
        <f t="shared" si="2"/>
        <v>3266.56</v>
      </c>
      <c r="Q26" s="95"/>
    </row>
    <row r="27" spans="1:18" x14ac:dyDescent="0.2">
      <c r="A27" s="100" t="str">
        <f t="shared" si="1"/>
        <v/>
      </c>
      <c r="B27" s="72">
        <v>238</v>
      </c>
      <c r="C27" s="110" t="str">
        <f>IFERROR(INDEX(Logs!$B$2:$B$500,MATCH('Beneficiaries (12)'!$B27,Logs!$A$2:$A$500,0)),"")</f>
        <v>Robert</v>
      </c>
      <c r="D27" s="107" t="str">
        <f>IFERROR(INDEX(Logs!$C$2:$C$500,MATCH('Beneficiaries (12)'!$B27,Logs!$A$2:$A$500,0)),"")</f>
        <v>Fortuin</v>
      </c>
      <c r="E27" s="108" t="str">
        <f>IFERROR(INDEX(Logs!$D$2:$D$500,MATCH('Beneficiaries (12)'!$B27,Logs!$A$2:$A$500,0)),"")</f>
        <v>9207265764086</v>
      </c>
      <c r="F27" s="73" t="s">
        <v>761</v>
      </c>
      <c r="G27" s="101" t="str">
        <f t="shared" si="0"/>
        <v>M</v>
      </c>
      <c r="H27" s="72" t="s">
        <v>761</v>
      </c>
      <c r="I27" s="72" t="s">
        <v>762</v>
      </c>
      <c r="J27" s="111" t="str">
        <f>IFERROR(INDEX(Logs!$E$2:$E$500,MATCH('Beneficiaries (12)'!$B27,Logs!$A$2:$A$500,0)),"")</f>
        <v>06/07/2023</v>
      </c>
      <c r="K27" s="111" t="str">
        <f>IFERROR(INDEX(Logs!$F$2:$F$500,MATCH('Beneficiaries (12)'!$B27,Logs!$A$2:$A$500,0)),"")</f>
        <v>30/06/2024</v>
      </c>
      <c r="L27" s="111">
        <f>IFERROR(INDEX(Logs!$G$2:$G$500,MATCH('Beneficiaries (12)'!$B27,Logs!$A$2:$A$500,0)),0)</f>
        <v>17</v>
      </c>
      <c r="M27" s="72">
        <v>0</v>
      </c>
      <c r="N27" s="101">
        <f t="shared" si="3"/>
        <v>17</v>
      </c>
      <c r="O27" s="102">
        <f>IFERROR(INDEX(Logs!$H$2:$H$500,MATCH('Beneficiaries (12)'!$B27,Logs!$A$2:$A$500,0)),)</f>
        <v>204.16</v>
      </c>
      <c r="P27" s="103">
        <f t="shared" si="2"/>
        <v>3470.72</v>
      </c>
      <c r="Q27" s="95"/>
    </row>
    <row r="28" spans="1:18" x14ac:dyDescent="0.2">
      <c r="A28" s="100" t="str">
        <f t="shared" si="1"/>
        <v/>
      </c>
      <c r="B28" s="72">
        <v>239</v>
      </c>
      <c r="C28" s="110" t="str">
        <f>IFERROR(INDEX(Logs!$B$2:$B$500,MATCH('Beneficiaries (12)'!$B28,Logs!$A$2:$A$500,0)),"")</f>
        <v>Nonzuzo</v>
      </c>
      <c r="D28" s="107" t="str">
        <f>IFERROR(INDEX(Logs!$C$2:$C$500,MATCH('Beneficiaries (12)'!$B28,Logs!$A$2:$A$500,0)),"")</f>
        <v>Daniso</v>
      </c>
      <c r="E28" s="108" t="str">
        <f>IFERROR(INDEX(Logs!$D$2:$D$500,MATCH('Beneficiaries (12)'!$B28,Logs!$A$2:$A$500,0)),"")</f>
        <v>8111101232087</v>
      </c>
      <c r="F28" s="73" t="s">
        <v>761</v>
      </c>
      <c r="G28" s="101" t="str">
        <f t="shared" si="0"/>
        <v>F</v>
      </c>
      <c r="H28" s="72" t="s">
        <v>761</v>
      </c>
      <c r="I28" s="72" t="s">
        <v>762</v>
      </c>
      <c r="J28" s="111" t="str">
        <f>IFERROR(INDEX(Logs!$E$2:$E$500,MATCH('Beneficiaries (12)'!$B28,Logs!$A$2:$A$500,0)),"")</f>
        <v>01/08/2023</v>
      </c>
      <c r="K28" s="111" t="str">
        <f>IFERROR(INDEX(Logs!$F$2:$F$500,MATCH('Beneficiaries (12)'!$B28,Logs!$A$2:$A$500,0)),"")</f>
        <v>30/06/2024</v>
      </c>
      <c r="L28" s="111">
        <f>IFERROR(INDEX(Logs!$G$2:$G$500,MATCH('Beneficiaries (12)'!$B28,Logs!$A$2:$A$500,0)),0)</f>
        <v>26</v>
      </c>
      <c r="M28" s="72">
        <v>0</v>
      </c>
      <c r="N28" s="101">
        <f t="shared" si="3"/>
        <v>26</v>
      </c>
      <c r="O28" s="102">
        <f>IFERROR(INDEX(Logs!$H$2:$H$500,MATCH('Beneficiaries (12)'!$B28,Logs!$A$2:$A$500,0)),)</f>
        <v>204.16</v>
      </c>
      <c r="P28" s="103">
        <f t="shared" si="2"/>
        <v>5308.16</v>
      </c>
      <c r="Q28" s="95"/>
    </row>
    <row r="29" spans="1:18" x14ac:dyDescent="0.2">
      <c r="A29" s="100" t="str">
        <f t="shared" si="1"/>
        <v/>
      </c>
      <c r="B29" s="72">
        <v>240</v>
      </c>
      <c r="C29" s="110" t="str">
        <f>IFERROR(INDEX(Logs!$B$2:$B$500,MATCH('Beneficiaries (12)'!$B29,Logs!$A$2:$A$500,0)),"")</f>
        <v>Yolisa</v>
      </c>
      <c r="D29" s="110" t="str">
        <f>IFERROR(INDEX(Logs!$C$2:$C$500,MATCH('Beneficiaries (12)'!$B29,Logs!$A$2:$A$500,0)),"")</f>
        <v>Grifies</v>
      </c>
      <c r="E29" s="108" t="str">
        <f>IFERROR(INDEX(Logs!$D$2:$D$500,MATCH('Beneficiaries (12)'!$B29,Logs!$A$2:$A$500,0)),"")</f>
        <v>8201013578089</v>
      </c>
      <c r="F29" s="73" t="s">
        <v>761</v>
      </c>
      <c r="G29" s="101" t="str">
        <f t="shared" si="0"/>
        <v>F</v>
      </c>
      <c r="H29" s="72" t="s">
        <v>761</v>
      </c>
      <c r="I29" s="72" t="s">
        <v>762</v>
      </c>
      <c r="J29" s="111" t="str">
        <f>IFERROR(INDEX(Logs!$E$2:$E$500,MATCH('Beneficiaries (12)'!$B29,Logs!$A$2:$A$500,0)),"")</f>
        <v>01/08/2023</v>
      </c>
      <c r="K29" s="111" t="str">
        <f>IFERROR(INDEX(Logs!$F$2:$F$500,MATCH('Beneficiaries (12)'!$B29,Logs!$A$2:$A$500,0)),"")</f>
        <v>30/06/2024</v>
      </c>
      <c r="L29" s="111">
        <f>IFERROR(INDEX(Logs!$G$2:$G$500,MATCH('Beneficiaries (12)'!$B29,Logs!$A$2:$A$500,0)),0)</f>
        <v>18</v>
      </c>
      <c r="M29" s="72">
        <v>0</v>
      </c>
      <c r="N29" s="101">
        <f t="shared" si="3"/>
        <v>18</v>
      </c>
      <c r="O29" s="102">
        <f>IFERROR(INDEX(Logs!$H$2:$H$500,MATCH('Beneficiaries (12)'!$B29,Logs!$A$2:$A$500,0)),)</f>
        <v>204.16</v>
      </c>
      <c r="P29" s="103">
        <f t="shared" si="2"/>
        <v>3674.88</v>
      </c>
      <c r="Q29" s="95"/>
    </row>
    <row r="30" spans="1:18" x14ac:dyDescent="0.2"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104">
        <f>SUM(L10:L29)</f>
        <v>375</v>
      </c>
      <c r="M30" s="104">
        <f>SUM(M10:M29)</f>
        <v>0</v>
      </c>
      <c r="N30" s="104">
        <f>SUM(N10:N29)</f>
        <v>375</v>
      </c>
      <c r="O30" s="105">
        <f>SUM(O10:O29)</f>
        <v>4083.1999999999989</v>
      </c>
      <c r="P30" s="106">
        <f>SUM(P10:P29)</f>
        <v>76559.999999999985</v>
      </c>
      <c r="Q30" s="97"/>
    </row>
    <row r="31" spans="1:18" ht="27" customHeight="1" x14ac:dyDescent="0.2">
      <c r="B31" s="217" t="s">
        <v>98</v>
      </c>
      <c r="C31" s="217"/>
      <c r="D31" s="98" t="s">
        <v>97</v>
      </c>
      <c r="E31" s="218" t="str">
        <f>Project!$G$30</f>
        <v>Benjamin Milandou-Loubeka</v>
      </c>
      <c r="F31" s="218"/>
      <c r="G31" s="218"/>
      <c r="H31" s="219" t="s">
        <v>101</v>
      </c>
      <c r="I31" s="220"/>
      <c r="J31" s="220"/>
      <c r="K31" s="220"/>
      <c r="L31" s="220"/>
      <c r="M31" s="220"/>
      <c r="N31" s="220"/>
      <c r="O31" s="220"/>
      <c r="P31" s="220"/>
      <c r="Q31" s="87"/>
    </row>
    <row r="32" spans="1:18" ht="27" customHeight="1" x14ac:dyDescent="0.2">
      <c r="B32" s="217"/>
      <c r="C32" s="217"/>
      <c r="D32" s="98" t="s">
        <v>100</v>
      </c>
      <c r="E32" s="221">
        <f>Project!$AN$1</f>
        <v>45199</v>
      </c>
      <c r="F32" s="221"/>
      <c r="G32" s="221"/>
      <c r="H32" s="219"/>
      <c r="I32" s="220"/>
      <c r="J32" s="220"/>
      <c r="K32" s="220"/>
      <c r="L32" s="220"/>
      <c r="M32" s="220"/>
      <c r="N32" s="220"/>
      <c r="O32" s="220"/>
      <c r="P32" s="220"/>
      <c r="Q32" s="87"/>
    </row>
    <row r="33" spans="2:17" ht="14.25" customHeight="1" x14ac:dyDescent="0.2">
      <c r="B33" s="88"/>
      <c r="C33" s="88"/>
      <c r="D33" s="99"/>
      <c r="E33" s="87"/>
      <c r="F33" s="87"/>
      <c r="G33" s="87"/>
      <c r="H33" s="81"/>
      <c r="I33" s="87"/>
      <c r="J33" s="87"/>
      <c r="K33" s="87"/>
      <c r="L33" s="87"/>
      <c r="M33" s="87"/>
      <c r="N33" s="87"/>
      <c r="O33" s="87"/>
      <c r="P33" s="87"/>
      <c r="Q33" s="87"/>
    </row>
    <row r="34" spans="2:17" ht="27" customHeight="1" x14ac:dyDescent="0.2">
      <c r="B34" s="217" t="s">
        <v>99</v>
      </c>
      <c r="C34" s="217"/>
      <c r="D34" s="98" t="s">
        <v>97</v>
      </c>
      <c r="E34" s="220"/>
      <c r="F34" s="220"/>
      <c r="G34" s="220"/>
      <c r="H34" s="219" t="s">
        <v>101</v>
      </c>
      <c r="I34" s="220"/>
      <c r="J34" s="220"/>
      <c r="K34" s="220"/>
      <c r="L34" s="220"/>
      <c r="M34" s="220"/>
      <c r="N34" s="220"/>
      <c r="O34" s="220"/>
      <c r="P34" s="220"/>
      <c r="Q34" s="87"/>
    </row>
    <row r="35" spans="2:17" ht="27" customHeight="1" x14ac:dyDescent="0.2">
      <c r="B35" s="217"/>
      <c r="C35" s="217"/>
      <c r="D35" s="98" t="s">
        <v>100</v>
      </c>
      <c r="E35" s="220"/>
      <c r="F35" s="220"/>
      <c r="G35" s="220"/>
      <c r="H35" s="219"/>
      <c r="I35" s="220"/>
      <c r="J35" s="220"/>
      <c r="K35" s="220"/>
      <c r="L35" s="220"/>
      <c r="M35" s="220"/>
      <c r="N35" s="220"/>
      <c r="O35" s="220"/>
      <c r="P35" s="220"/>
      <c r="Q35" s="87"/>
    </row>
    <row r="74" spans="2:2" x14ac:dyDescent="0.2">
      <c r="B74" s="87"/>
    </row>
  </sheetData>
  <sheetProtection algorithmName="SHA-512" hashValue="7cyZORBJJK/NyZ3G3iR/BP8FmRTDt+6R6/xPOgjuggsCxP5OZr6uStAgavCmbazFKgxBcJCT12G1PAmDQY1Vgg==" saltValue="pkBdrB9fsfgqS40143ryBA==" spinCount="100000" sheet="1" selectLockedCells="1"/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conditionalFormatting sqref="C10:C21">
    <cfRule type="uniqueValues" dxfId="35" priority="9"/>
  </conditionalFormatting>
  <conditionalFormatting sqref="D10:D20">
    <cfRule type="uniqueValues" dxfId="34" priority="8"/>
  </conditionalFormatting>
  <conditionalFormatting sqref="D21:D28">
    <cfRule type="uniqueValues" dxfId="33" priority="7"/>
  </conditionalFormatting>
  <conditionalFormatting sqref="F10:F29">
    <cfRule type="expression" dxfId="32" priority="6">
      <formula>$C10=""</formula>
    </cfRule>
  </conditionalFormatting>
  <conditionalFormatting sqref="H10:I29">
    <cfRule type="expression" dxfId="31" priority="5">
      <formula>$C10=""</formula>
    </cfRule>
  </conditionalFormatting>
  <conditionalFormatting sqref="B10:B29">
    <cfRule type="expression" dxfId="30" priority="4">
      <formula>$C10=""</formula>
    </cfRule>
  </conditionalFormatting>
  <conditionalFormatting sqref="L10:L29">
    <cfRule type="cellIs" dxfId="29" priority="3" operator="equal">
      <formula>0</formula>
    </cfRule>
  </conditionalFormatting>
  <conditionalFormatting sqref="M10:N29">
    <cfRule type="expression" dxfId="28" priority="2">
      <formula>$C10=""</formula>
    </cfRule>
  </conditionalFormatting>
  <conditionalFormatting sqref="O10:P29">
    <cfRule type="expression" dxfId="27" priority="1">
      <formula>$C10=""</formula>
    </cfRule>
  </conditionalFormatting>
  <dataValidations count="1">
    <dataValidation allowBlank="1" showInputMessage="1" showErrorMessage="1" promptTitle="Month" sqref="I6" xr:uid="{AEC921D7-8B15-4C11-9352-5220C82CCE99}"/>
  </dataValidations>
  <pageMargins left="0.23622047244094491" right="0.23622047244094491" top="0.74803149606299213" bottom="0.74803149606299213" header="0.31496062992125984" footer="0.31496062992125984"/>
  <pageSetup paperSize="9" scale="86" fitToHeight="0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A8CF4-EC83-495B-8472-54B6E9F27A1D}">
  <sheetPr codeName="Sheet27">
    <pageSetUpPr fitToPage="1"/>
  </sheetPr>
  <dimension ref="A1:R74"/>
  <sheetViews>
    <sheetView showGridLines="0" zoomScaleNormal="100" workbookViewId="0">
      <selection activeCell="B5" sqref="B5:C6"/>
    </sheetView>
  </sheetViews>
  <sheetFormatPr defaultColWidth="8.85546875" defaultRowHeight="12.75" x14ac:dyDescent="0.2"/>
  <cols>
    <col min="1" max="1" width="20.7109375" style="76" customWidth="1"/>
    <col min="2" max="2" width="4.42578125" style="80" customWidth="1"/>
    <col min="3" max="5" width="24.42578125" style="80" customWidth="1"/>
    <col min="6" max="6" width="10.140625" style="80" customWidth="1"/>
    <col min="7" max="9" width="8.85546875" style="80"/>
    <col min="10" max="11" width="10.140625" style="80" bestFit="1" customWidth="1"/>
    <col min="12" max="15" width="13.7109375" style="80" customWidth="1"/>
    <col min="16" max="17" width="14.5703125" style="80" customWidth="1"/>
    <col min="18" max="18" width="8.85546875" style="150"/>
    <col min="19" max="16384" width="8.85546875" style="80"/>
  </cols>
  <sheetData>
    <row r="1" spans="1:18" ht="15.75" x14ac:dyDescent="0.25">
      <c r="B1" s="77" t="s">
        <v>44</v>
      </c>
      <c r="C1" s="78"/>
      <c r="D1" s="78"/>
      <c r="E1" s="79" t="s">
        <v>1</v>
      </c>
      <c r="G1" s="78"/>
      <c r="H1" s="78"/>
      <c r="I1" s="78"/>
      <c r="R1" s="114">
        <f>IF(Beneficiaries!$P$30&gt;0,1,"")</f>
        <v>1</v>
      </c>
    </row>
    <row r="2" spans="1:18" ht="15.75" x14ac:dyDescent="0.25"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114">
        <f>IF('Beneficiaries (2)'!$P$30&gt;0,1,"")</f>
        <v>1</v>
      </c>
    </row>
    <row r="3" spans="1:18" x14ac:dyDescent="0.2">
      <c r="B3" s="210" t="s">
        <v>28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81"/>
      <c r="R3" s="114">
        <f>IF('Beneficiaries (3)'!$P$30&gt;0,1,"")</f>
        <v>1</v>
      </c>
    </row>
    <row r="4" spans="1:18" x14ac:dyDescent="0.2">
      <c r="C4" s="77"/>
      <c r="D4" s="77"/>
      <c r="E4" s="77"/>
      <c r="F4" s="77"/>
      <c r="G4" s="77"/>
      <c r="R4" s="114">
        <f>IF('Beneficiaries (4)'!$P$30&gt;0,1,"")</f>
        <v>1</v>
      </c>
    </row>
    <row r="5" spans="1:18" ht="12.75" customHeight="1" x14ac:dyDescent="0.2">
      <c r="B5" s="211" t="s">
        <v>12</v>
      </c>
      <c r="C5" s="212"/>
      <c r="D5" s="215" t="str">
        <f>Project!$Z$25</f>
        <v>WSDS/24/111i</v>
      </c>
      <c r="E5" s="215"/>
      <c r="F5" s="82"/>
      <c r="H5" s="83" t="s">
        <v>80</v>
      </c>
      <c r="I5" s="83" t="s">
        <v>81</v>
      </c>
      <c r="J5" s="77"/>
      <c r="K5" s="216" t="s">
        <v>78</v>
      </c>
      <c r="L5" s="216"/>
      <c r="M5" s="216"/>
      <c r="N5" s="85"/>
      <c r="O5" s="85"/>
      <c r="P5" s="77"/>
      <c r="Q5" s="77"/>
      <c r="R5" s="114">
        <f>IF('Beneficiaries (5)'!$P$30&gt;0,1,"")</f>
        <v>1</v>
      </c>
    </row>
    <row r="6" spans="1:18" x14ac:dyDescent="0.2">
      <c r="B6" s="213"/>
      <c r="C6" s="214"/>
      <c r="D6" s="215"/>
      <c r="E6" s="215"/>
      <c r="F6" s="82"/>
      <c r="H6" s="112" t="str">
        <f>TEXT(Project!$AN$1,"YYYY")</f>
        <v>2023</v>
      </c>
      <c r="I6" s="112" t="str">
        <f>TEXT(Project!$AN$1,"MMMM")</f>
        <v>September</v>
      </c>
      <c r="J6" s="86"/>
      <c r="K6" s="57">
        <v>1</v>
      </c>
      <c r="L6" s="84" t="s">
        <v>79</v>
      </c>
      <c r="M6" s="113">
        <f>IF(K6&gt;0,COUNT(R1:R20),"")</f>
        <v>14</v>
      </c>
      <c r="N6" s="85"/>
      <c r="O6" s="85"/>
      <c r="P6" s="87"/>
      <c r="Q6" s="87"/>
      <c r="R6" s="114">
        <f>IF('Beneficiaries (6)'!$P$30&gt;0,1,"")</f>
        <v>1</v>
      </c>
    </row>
    <row r="7" spans="1:18" x14ac:dyDescent="0.2">
      <c r="B7" s="88"/>
      <c r="C7" s="88"/>
      <c r="D7" s="88"/>
      <c r="E7" s="87"/>
      <c r="F7" s="87"/>
      <c r="H7" s="86"/>
      <c r="I7" s="86"/>
      <c r="J7" s="86"/>
      <c r="K7" s="87"/>
      <c r="L7" s="85"/>
      <c r="M7" s="85"/>
      <c r="N7" s="85"/>
      <c r="O7" s="85"/>
      <c r="P7" s="87"/>
      <c r="Q7" s="87"/>
      <c r="R7" s="114">
        <f>IF('Beneficiaries (7)'!$P$30&gt;0,1,"")</f>
        <v>1</v>
      </c>
    </row>
    <row r="8" spans="1:18" x14ac:dyDescent="0.2">
      <c r="B8" s="89"/>
      <c r="C8" s="90" t="s">
        <v>34</v>
      </c>
      <c r="D8" s="90" t="s">
        <v>34</v>
      </c>
      <c r="E8" s="90" t="s">
        <v>34</v>
      </c>
      <c r="F8" s="90" t="s">
        <v>35</v>
      </c>
      <c r="G8" s="89"/>
      <c r="H8" s="89"/>
      <c r="I8" s="90" t="s">
        <v>36</v>
      </c>
      <c r="J8" s="89"/>
      <c r="K8" s="90" t="s">
        <v>37</v>
      </c>
      <c r="L8" s="90" t="s">
        <v>38</v>
      </c>
      <c r="M8" s="90" t="s">
        <v>42</v>
      </c>
      <c r="N8" s="90"/>
      <c r="O8" s="90" t="s">
        <v>104</v>
      </c>
      <c r="P8" s="90"/>
      <c r="Q8" s="91"/>
      <c r="R8" s="114">
        <f>IF('Beneficiaries (8)'!$P$30&gt;0,1,"")</f>
        <v>1</v>
      </c>
    </row>
    <row r="9" spans="1:18" ht="45" x14ac:dyDescent="0.2">
      <c r="B9" s="92" t="s">
        <v>29</v>
      </c>
      <c r="C9" s="92" t="s">
        <v>30</v>
      </c>
      <c r="D9" s="92" t="s">
        <v>31</v>
      </c>
      <c r="E9" s="92" t="s">
        <v>32</v>
      </c>
      <c r="F9" s="93" t="s">
        <v>96</v>
      </c>
      <c r="G9" s="93" t="s">
        <v>33</v>
      </c>
      <c r="H9" s="93" t="s">
        <v>76</v>
      </c>
      <c r="I9" s="93" t="s">
        <v>77</v>
      </c>
      <c r="J9" s="93" t="s">
        <v>95</v>
      </c>
      <c r="K9" s="93" t="s">
        <v>94</v>
      </c>
      <c r="L9" s="93" t="s">
        <v>41</v>
      </c>
      <c r="M9" s="93" t="s">
        <v>103</v>
      </c>
      <c r="N9" s="93" t="s">
        <v>116</v>
      </c>
      <c r="O9" s="93" t="s">
        <v>102</v>
      </c>
      <c r="P9" s="93" t="s">
        <v>117</v>
      </c>
      <c r="Q9" s="94"/>
      <c r="R9" s="114">
        <f>IF('Beneficiaries (9)'!$P$30&gt;0,1,"")</f>
        <v>1</v>
      </c>
    </row>
    <row r="10" spans="1:18" x14ac:dyDescent="0.2">
      <c r="A10" s="100" t="str">
        <f>ID_Valid(E10)</f>
        <v/>
      </c>
      <c r="B10" s="72">
        <v>241</v>
      </c>
      <c r="C10" s="107" t="str">
        <f>IFERROR(INDEX(Logs!$B$2:$B$500,MATCH('Beneficiaries (13)'!$B10,Logs!$A$2:$A$500,0)),"")</f>
        <v>Nomzamo</v>
      </c>
      <c r="D10" s="107" t="str">
        <f>IFERROR(INDEX(Logs!$C$2:$C$500,MATCH('Beneficiaries (13)'!$B10,Logs!$A$2:$A$500,0)),"")</f>
        <v>Batula</v>
      </c>
      <c r="E10" s="108" t="str">
        <f>IFERROR(INDEX(Logs!$D$2:$D$500,MATCH('Beneficiaries (13)'!$B10,Logs!$A$2:$A$500,0)),"")</f>
        <v>8406090587081</v>
      </c>
      <c r="F10" s="73" t="s">
        <v>761</v>
      </c>
      <c r="G10" s="101" t="str">
        <f t="shared" ref="G10:G29" si="0">TheGender(E10)</f>
        <v>F</v>
      </c>
      <c r="H10" s="72" t="s">
        <v>761</v>
      </c>
      <c r="I10" s="74" t="s">
        <v>762</v>
      </c>
      <c r="J10" s="110" t="str">
        <f>IFERROR(INDEX(Logs!$E$2:$E$500,MATCH('Beneficiaries (13)'!$B10,Logs!$A$2:$A$500,0)),"")</f>
        <v>01/08/2023</v>
      </c>
      <c r="K10" s="110" t="str">
        <f>IFERROR(INDEX(Logs!$F$2:$F$500,MATCH('Beneficiaries (13)'!$B10,Logs!$A$2:$A$500,0)),"")</f>
        <v>30/06/2024</v>
      </c>
      <c r="L10" s="111">
        <f>IFERROR(INDEX(Logs!$G$2:$G$500,MATCH('Beneficiaries (13)'!$B10,Logs!$A$2:$A$500,0)),0)</f>
        <v>16</v>
      </c>
      <c r="M10" s="72">
        <v>0</v>
      </c>
      <c r="N10" s="101">
        <f>M10+L10</f>
        <v>16</v>
      </c>
      <c r="O10" s="102">
        <f>IFERROR(INDEX(Logs!$H$2:$H$500,MATCH('Beneficiaries (13)'!$B10,Logs!$A$2:$A$500,0)),)</f>
        <v>218.08</v>
      </c>
      <c r="P10" s="103">
        <f>IFERROR(N10*O10,0)</f>
        <v>3489.28</v>
      </c>
      <c r="Q10" s="95"/>
      <c r="R10" s="114">
        <f>IF('Beneficiaries (10)'!$P$30&gt;0,1,"")</f>
        <v>1</v>
      </c>
    </row>
    <row r="11" spans="1:18" x14ac:dyDescent="0.2">
      <c r="A11" s="100" t="str">
        <f t="shared" ref="A11:A29" si="1">ID_Valid(E11)</f>
        <v/>
      </c>
      <c r="B11" s="72">
        <v>242</v>
      </c>
      <c r="C11" s="107" t="str">
        <f>IFERROR(INDEX(Logs!$B$2:$B$500,MATCH('Beneficiaries (13)'!$B11,Logs!$A$2:$A$500,0)),"")</f>
        <v>Pamella</v>
      </c>
      <c r="D11" s="107" t="str">
        <f>IFERROR(INDEX(Logs!$C$2:$C$500,MATCH('Beneficiaries (13)'!$B11,Logs!$A$2:$A$500,0)),"")</f>
        <v>Mayile</v>
      </c>
      <c r="E11" s="108" t="str">
        <f>IFERROR(INDEX(Logs!$D$2:$D$500,MATCH('Beneficiaries (13)'!$B11,Logs!$A$2:$A$500,0)),"")</f>
        <v>7611160349087</v>
      </c>
      <c r="F11" s="73" t="s">
        <v>761</v>
      </c>
      <c r="G11" s="101" t="str">
        <f t="shared" si="0"/>
        <v>F</v>
      </c>
      <c r="H11" s="72" t="s">
        <v>761</v>
      </c>
      <c r="I11" s="72" t="s">
        <v>762</v>
      </c>
      <c r="J11" s="111" t="str">
        <f>IFERROR(INDEX(Logs!$E$2:$E$500,MATCH('Beneficiaries (13)'!$B11,Logs!$A$2:$A$500,0)),"")</f>
        <v>01/08/2023</v>
      </c>
      <c r="K11" s="111" t="str">
        <f>IFERROR(INDEX(Logs!$F$2:$F$500,MATCH('Beneficiaries (13)'!$B11,Logs!$A$2:$A$500,0)),"")</f>
        <v>30/06/2024</v>
      </c>
      <c r="L11" s="111">
        <f>IFERROR(INDEX(Logs!$G$2:$G$500,MATCH('Beneficiaries (13)'!$B11,Logs!$A$2:$A$500,0)),0)</f>
        <v>16</v>
      </c>
      <c r="M11" s="72">
        <v>0</v>
      </c>
      <c r="N11" s="101">
        <f>L11+M11</f>
        <v>16</v>
      </c>
      <c r="O11" s="102">
        <f>IFERROR(INDEX(Logs!$H$2:$H$500,MATCH('Beneficiaries (13)'!$B11,Logs!$A$2:$A$500,0)),)</f>
        <v>218.08</v>
      </c>
      <c r="P11" s="103">
        <f t="shared" ref="P11:P29" si="2">IFERROR(N11*O11,0)</f>
        <v>3489.28</v>
      </c>
      <c r="Q11" s="95"/>
      <c r="R11" s="114">
        <f>IF('Beneficiaries (11)'!$P$30&gt;0,1,"")</f>
        <v>1</v>
      </c>
    </row>
    <row r="12" spans="1:18" x14ac:dyDescent="0.2">
      <c r="A12" s="100" t="str">
        <f t="shared" si="1"/>
        <v/>
      </c>
      <c r="B12" s="72">
        <v>243</v>
      </c>
      <c r="C12" s="107" t="str">
        <f>IFERROR(INDEX(Logs!$B$2:$B$500,MATCH('Beneficiaries (13)'!$B12,Logs!$A$2:$A$500,0)),"")</f>
        <v>Nomhlaba</v>
      </c>
      <c r="D12" s="107" t="str">
        <f>IFERROR(INDEX(Logs!$C$2:$C$500,MATCH('Beneficiaries (13)'!$B12,Logs!$A$2:$A$500,0)),"")</f>
        <v>Mantla</v>
      </c>
      <c r="E12" s="108" t="str">
        <f>IFERROR(INDEX(Logs!$D$2:$D$500,MATCH('Beneficiaries (13)'!$B12,Logs!$A$2:$A$500,0)),"")</f>
        <v>8008060614083</v>
      </c>
      <c r="F12" s="73" t="s">
        <v>761</v>
      </c>
      <c r="G12" s="101" t="str">
        <f t="shared" si="0"/>
        <v>F</v>
      </c>
      <c r="H12" s="72" t="s">
        <v>761</v>
      </c>
      <c r="I12" s="72" t="s">
        <v>762</v>
      </c>
      <c r="J12" s="111" t="str">
        <f>IFERROR(INDEX(Logs!$E$2:$E$500,MATCH('Beneficiaries (13)'!$B12,Logs!$A$2:$A$500,0)),"")</f>
        <v>01/08/2023</v>
      </c>
      <c r="K12" s="111" t="str">
        <f>IFERROR(INDEX(Logs!$F$2:$F$500,MATCH('Beneficiaries (13)'!$B12,Logs!$A$2:$A$500,0)),"")</f>
        <v>30/06/2024</v>
      </c>
      <c r="L12" s="111">
        <f>IFERROR(INDEX(Logs!$G$2:$G$500,MATCH('Beneficiaries (13)'!$B12,Logs!$A$2:$A$500,0)),0)</f>
        <v>16</v>
      </c>
      <c r="M12" s="72">
        <v>0</v>
      </c>
      <c r="N12" s="101">
        <f t="shared" ref="N12:N29" si="3">L12+M12</f>
        <v>16</v>
      </c>
      <c r="O12" s="102">
        <f>IFERROR(INDEX(Logs!$H$2:$H$500,MATCH('Beneficiaries (13)'!$B12,Logs!$A$2:$A$500,0)),)</f>
        <v>204.16</v>
      </c>
      <c r="P12" s="103">
        <f t="shared" si="2"/>
        <v>3266.56</v>
      </c>
      <c r="Q12" s="95"/>
      <c r="R12" s="114">
        <f>IF('Beneficiaries (12)'!$P$30&gt;0,1,"")</f>
        <v>1</v>
      </c>
    </row>
    <row r="13" spans="1:18" x14ac:dyDescent="0.2">
      <c r="A13" s="100" t="str">
        <f t="shared" si="1"/>
        <v/>
      </c>
      <c r="B13" s="72">
        <v>244</v>
      </c>
      <c r="C13" s="107" t="str">
        <f>IFERROR(INDEX(Logs!$B$2:$B$500,MATCH('Beneficiaries (13)'!$B13,Logs!$A$2:$A$500,0)),"")</f>
        <v>Siphokazi</v>
      </c>
      <c r="D13" s="107" t="str">
        <f>IFERROR(INDEX(Logs!$C$2:$C$500,MATCH('Beneficiaries (13)'!$B13,Logs!$A$2:$A$500,0)),"")</f>
        <v>Sitole</v>
      </c>
      <c r="E13" s="108" t="str">
        <f>IFERROR(INDEX(Logs!$D$2:$D$500,MATCH('Beneficiaries (13)'!$B13,Logs!$A$2:$A$500,0)),"")</f>
        <v>9203200498088</v>
      </c>
      <c r="F13" s="73" t="s">
        <v>761</v>
      </c>
      <c r="G13" s="101" t="str">
        <f t="shared" si="0"/>
        <v>F</v>
      </c>
      <c r="H13" s="72" t="s">
        <v>761</v>
      </c>
      <c r="I13" s="72" t="s">
        <v>762</v>
      </c>
      <c r="J13" s="111" t="str">
        <f>IFERROR(INDEX(Logs!$E$2:$E$500,MATCH('Beneficiaries (13)'!$B13,Logs!$A$2:$A$500,0)),"")</f>
        <v>01/08/2023</v>
      </c>
      <c r="K13" s="111" t="str">
        <f>IFERROR(INDEX(Logs!$F$2:$F$500,MATCH('Beneficiaries (13)'!$B13,Logs!$A$2:$A$500,0)),"")</f>
        <v>30/06/2024</v>
      </c>
      <c r="L13" s="111">
        <f>IFERROR(INDEX(Logs!$G$2:$G$500,MATCH('Beneficiaries (13)'!$B13,Logs!$A$2:$A$500,0)),0)</f>
        <v>16</v>
      </c>
      <c r="M13" s="72">
        <v>0</v>
      </c>
      <c r="N13" s="101">
        <f t="shared" si="3"/>
        <v>16</v>
      </c>
      <c r="O13" s="102">
        <f>IFERROR(INDEX(Logs!$H$2:$H$500,MATCH('Beneficiaries (13)'!$B13,Logs!$A$2:$A$500,0)),)</f>
        <v>204.16</v>
      </c>
      <c r="P13" s="103">
        <f t="shared" si="2"/>
        <v>3266.56</v>
      </c>
      <c r="Q13" s="95"/>
      <c r="R13" s="114">
        <f>IF('Beneficiaries (13)'!$P$30&gt;0,1,"")</f>
        <v>1</v>
      </c>
    </row>
    <row r="14" spans="1:18" x14ac:dyDescent="0.2">
      <c r="A14" s="100" t="str">
        <f t="shared" si="1"/>
        <v/>
      </c>
      <c r="B14" s="72">
        <v>245</v>
      </c>
      <c r="C14" s="107" t="str">
        <f>IFERROR(INDEX(Logs!$B$2:$B$500,MATCH('Beneficiaries (13)'!$B14,Logs!$A$2:$A$500,0)),"")</f>
        <v>Nolinda</v>
      </c>
      <c r="D14" s="107" t="str">
        <f>IFERROR(INDEX(Logs!$C$2:$C$500,MATCH('Beneficiaries (13)'!$B14,Logs!$A$2:$A$500,0)),"")</f>
        <v>Madubela</v>
      </c>
      <c r="E14" s="108" t="str">
        <f>IFERROR(INDEX(Logs!$D$2:$D$500,MATCH('Beneficiaries (13)'!$B14,Logs!$A$2:$A$500,0)),"")</f>
        <v>7603110826082</v>
      </c>
      <c r="F14" s="73" t="s">
        <v>761</v>
      </c>
      <c r="G14" s="101" t="str">
        <f t="shared" si="0"/>
        <v>F</v>
      </c>
      <c r="H14" s="72" t="s">
        <v>761</v>
      </c>
      <c r="I14" s="72" t="s">
        <v>762</v>
      </c>
      <c r="J14" s="111" t="str">
        <f>IFERROR(INDEX(Logs!$E$2:$E$500,MATCH('Beneficiaries (13)'!$B14,Logs!$A$2:$A$500,0)),"")</f>
        <v>01/08/2023</v>
      </c>
      <c r="K14" s="111" t="str">
        <f>IFERROR(INDEX(Logs!$F$2:$F$500,MATCH('Beneficiaries (13)'!$B14,Logs!$A$2:$A$500,0)),"")</f>
        <v>30/06/2024</v>
      </c>
      <c r="L14" s="111">
        <f>IFERROR(INDEX(Logs!$G$2:$G$500,MATCH('Beneficiaries (13)'!$B14,Logs!$A$2:$A$500,0)),0)</f>
        <v>16</v>
      </c>
      <c r="M14" s="72">
        <v>0</v>
      </c>
      <c r="N14" s="101">
        <f t="shared" si="3"/>
        <v>16</v>
      </c>
      <c r="O14" s="102">
        <f>IFERROR(INDEX(Logs!$H$2:$H$500,MATCH('Beneficiaries (13)'!$B14,Logs!$A$2:$A$500,0)),)</f>
        <v>204.16</v>
      </c>
      <c r="P14" s="103">
        <f t="shared" si="2"/>
        <v>3266.56</v>
      </c>
      <c r="Q14" s="95"/>
      <c r="R14" s="114">
        <f>IF('Beneficiaries (14)'!$P$30&gt;0,1,"")</f>
        <v>1</v>
      </c>
    </row>
    <row r="15" spans="1:18" x14ac:dyDescent="0.2">
      <c r="A15" s="100" t="str">
        <f t="shared" si="1"/>
        <v/>
      </c>
      <c r="B15" s="72">
        <v>246</v>
      </c>
      <c r="C15" s="107" t="str">
        <f>IFERROR(INDEX(Logs!$B$2:$B$500,MATCH('Beneficiaries (13)'!$B15,Logs!$A$2:$A$500,0)),"")</f>
        <v>Linda</v>
      </c>
      <c r="D15" s="107" t="str">
        <f>IFERROR(INDEX(Logs!$C$2:$C$500,MATCH('Beneficiaries (13)'!$B15,Logs!$A$2:$A$500,0)),"")</f>
        <v>Noyo</v>
      </c>
      <c r="E15" s="108" t="str">
        <f>IFERROR(INDEX(Logs!$D$2:$D$500,MATCH('Beneficiaries (13)'!$B15,Logs!$A$2:$A$500,0)),"")</f>
        <v>8912170210080</v>
      </c>
      <c r="F15" s="73" t="s">
        <v>761</v>
      </c>
      <c r="G15" s="101" t="str">
        <f t="shared" si="0"/>
        <v>F</v>
      </c>
      <c r="H15" s="72" t="s">
        <v>761</v>
      </c>
      <c r="I15" s="72" t="s">
        <v>762</v>
      </c>
      <c r="J15" s="111" t="str">
        <f>IFERROR(INDEX(Logs!$E$2:$E$500,MATCH('Beneficiaries (13)'!$B15,Logs!$A$2:$A$500,0)),"")</f>
        <v>01/08/2023</v>
      </c>
      <c r="K15" s="111" t="str">
        <f>IFERROR(INDEX(Logs!$F$2:$F$500,MATCH('Beneficiaries (13)'!$B15,Logs!$A$2:$A$500,0)),"")</f>
        <v>30/06/2024</v>
      </c>
      <c r="L15" s="111">
        <f>IFERROR(INDEX(Logs!$G$2:$G$500,MATCH('Beneficiaries (13)'!$B15,Logs!$A$2:$A$500,0)),0)</f>
        <v>16</v>
      </c>
      <c r="M15" s="72">
        <v>0</v>
      </c>
      <c r="N15" s="101">
        <f t="shared" si="3"/>
        <v>16</v>
      </c>
      <c r="O15" s="102">
        <f>IFERROR(INDEX(Logs!$H$2:$H$500,MATCH('Beneficiaries (13)'!$B15,Logs!$A$2:$A$500,0)),)</f>
        <v>204.16</v>
      </c>
      <c r="P15" s="103">
        <f t="shared" si="2"/>
        <v>3266.56</v>
      </c>
      <c r="Q15" s="95"/>
      <c r="R15" s="115"/>
    </row>
    <row r="16" spans="1:18" x14ac:dyDescent="0.2">
      <c r="A16" s="100" t="str">
        <f t="shared" si="1"/>
        <v/>
      </c>
      <c r="B16" s="72">
        <v>247</v>
      </c>
      <c r="C16" s="107" t="str">
        <f>IFERROR(INDEX(Logs!$B$2:$B$500,MATCH('Beneficiaries (13)'!$B16,Logs!$A$2:$A$500,0)),"")</f>
        <v>Nosicelo</v>
      </c>
      <c r="D16" s="107" t="str">
        <f>IFERROR(INDEX(Logs!$C$2:$C$500,MATCH('Beneficiaries (13)'!$B16,Logs!$A$2:$A$500,0)),"")</f>
        <v>Friffiths</v>
      </c>
      <c r="E16" s="108" t="str">
        <f>IFERROR(INDEX(Logs!$D$2:$D$500,MATCH('Beneficiaries (13)'!$B16,Logs!$A$2:$A$500,0)),"")</f>
        <v>7706110215089</v>
      </c>
      <c r="F16" s="73" t="s">
        <v>761</v>
      </c>
      <c r="G16" s="101" t="str">
        <f t="shared" si="0"/>
        <v>F</v>
      </c>
      <c r="H16" s="72" t="s">
        <v>761</v>
      </c>
      <c r="I16" s="72" t="s">
        <v>762</v>
      </c>
      <c r="J16" s="111" t="str">
        <f>IFERROR(INDEX(Logs!$E$2:$E$500,MATCH('Beneficiaries (13)'!$B16,Logs!$A$2:$A$500,0)),"")</f>
        <v>01/08/2023</v>
      </c>
      <c r="K16" s="111" t="str">
        <f>IFERROR(INDEX(Logs!$F$2:$F$500,MATCH('Beneficiaries (13)'!$B16,Logs!$A$2:$A$500,0)),"")</f>
        <v>30/06/2024</v>
      </c>
      <c r="L16" s="111">
        <f>IFERROR(INDEX(Logs!$G$2:$G$500,MATCH('Beneficiaries (13)'!$B16,Logs!$A$2:$A$500,0)),0)</f>
        <v>16</v>
      </c>
      <c r="M16" s="72">
        <v>0</v>
      </c>
      <c r="N16" s="101">
        <f t="shared" si="3"/>
        <v>16</v>
      </c>
      <c r="O16" s="102">
        <f>IFERROR(INDEX(Logs!$H$2:$H$500,MATCH('Beneficiaries (13)'!$B16,Logs!$A$2:$A$500,0)),)</f>
        <v>204.16</v>
      </c>
      <c r="P16" s="103">
        <f t="shared" si="2"/>
        <v>3266.56</v>
      </c>
      <c r="Q16" s="95"/>
      <c r="R16" s="115"/>
    </row>
    <row r="17" spans="1:18" x14ac:dyDescent="0.2">
      <c r="A17" s="100" t="str">
        <f t="shared" si="1"/>
        <v/>
      </c>
      <c r="B17" s="72">
        <v>248</v>
      </c>
      <c r="C17" s="107" t="str">
        <f>IFERROR(INDEX(Logs!$B$2:$B$500,MATCH('Beneficiaries (13)'!$B17,Logs!$A$2:$A$500,0)),"")</f>
        <v>Thobeka</v>
      </c>
      <c r="D17" s="107" t="str">
        <f>IFERROR(INDEX(Logs!$C$2:$C$500,MATCH('Beneficiaries (13)'!$B17,Logs!$A$2:$A$500,0)),"")</f>
        <v>Tobias</v>
      </c>
      <c r="E17" s="108" t="str">
        <f>IFERROR(INDEX(Logs!$D$2:$D$500,MATCH('Beneficiaries (13)'!$B17,Logs!$A$2:$A$500,0)),"")</f>
        <v>6704160750080</v>
      </c>
      <c r="F17" s="73" t="s">
        <v>761</v>
      </c>
      <c r="G17" s="101" t="str">
        <f t="shared" si="0"/>
        <v>F</v>
      </c>
      <c r="H17" s="72" t="s">
        <v>761</v>
      </c>
      <c r="I17" s="72" t="s">
        <v>762</v>
      </c>
      <c r="J17" s="111" t="str">
        <f>IFERROR(INDEX(Logs!$E$2:$E$500,MATCH('Beneficiaries (13)'!$B17,Logs!$A$2:$A$500,0)),"")</f>
        <v>01/08/2023</v>
      </c>
      <c r="K17" s="111" t="str">
        <f>IFERROR(INDEX(Logs!$F$2:$F$500,MATCH('Beneficiaries (13)'!$B17,Logs!$A$2:$A$500,0)),"")</f>
        <v>30/06/2024</v>
      </c>
      <c r="L17" s="111">
        <f>IFERROR(INDEX(Logs!$G$2:$G$500,MATCH('Beneficiaries (13)'!$B17,Logs!$A$2:$A$500,0)),0)</f>
        <v>16</v>
      </c>
      <c r="M17" s="72">
        <v>0</v>
      </c>
      <c r="N17" s="101">
        <f t="shared" si="3"/>
        <v>16</v>
      </c>
      <c r="O17" s="102">
        <f>IFERROR(INDEX(Logs!$H$2:$H$500,MATCH('Beneficiaries (13)'!$B17,Logs!$A$2:$A$500,0)),)</f>
        <v>204.16</v>
      </c>
      <c r="P17" s="103">
        <f t="shared" si="2"/>
        <v>3266.56</v>
      </c>
      <c r="Q17" s="95"/>
      <c r="R17" s="115"/>
    </row>
    <row r="18" spans="1:18" x14ac:dyDescent="0.2">
      <c r="A18" s="100" t="str">
        <f t="shared" si="1"/>
        <v/>
      </c>
      <c r="B18" s="72">
        <v>249</v>
      </c>
      <c r="C18" s="107" t="str">
        <f>IFERROR(INDEX(Logs!$B$2:$B$500,MATCH('Beneficiaries (13)'!$B18,Logs!$A$2:$A$500,0)),"")</f>
        <v>Nokubonga</v>
      </c>
      <c r="D18" s="107" t="str">
        <f>IFERROR(INDEX(Logs!$C$2:$C$500,MATCH('Beneficiaries (13)'!$B18,Logs!$A$2:$A$500,0)),"")</f>
        <v>Vetyumana</v>
      </c>
      <c r="E18" s="108" t="str">
        <f>IFERROR(INDEX(Logs!$D$2:$D$500,MATCH('Beneficiaries (13)'!$B18,Logs!$A$2:$A$500,0)),"")</f>
        <v>8507161325085</v>
      </c>
      <c r="F18" s="73" t="s">
        <v>761</v>
      </c>
      <c r="G18" s="101" t="str">
        <f t="shared" si="0"/>
        <v>F</v>
      </c>
      <c r="H18" s="72" t="s">
        <v>761</v>
      </c>
      <c r="I18" s="72" t="s">
        <v>762</v>
      </c>
      <c r="J18" s="111" t="str">
        <f>IFERROR(INDEX(Logs!$E$2:$E$500,MATCH('Beneficiaries (13)'!$B18,Logs!$A$2:$A$500,0)),"")</f>
        <v>01/08/2023</v>
      </c>
      <c r="K18" s="111" t="str">
        <f>IFERROR(INDEX(Logs!$F$2:$F$500,MATCH('Beneficiaries (13)'!$B18,Logs!$A$2:$A$500,0)),"")</f>
        <v>30/06/2024</v>
      </c>
      <c r="L18" s="111">
        <f>IFERROR(INDEX(Logs!$G$2:$G$500,MATCH('Beneficiaries (13)'!$B18,Logs!$A$2:$A$500,0)),0)</f>
        <v>16</v>
      </c>
      <c r="M18" s="72">
        <v>0</v>
      </c>
      <c r="N18" s="101">
        <f t="shared" si="3"/>
        <v>16</v>
      </c>
      <c r="O18" s="102">
        <f>IFERROR(INDEX(Logs!$H$2:$H$500,MATCH('Beneficiaries (13)'!$B18,Logs!$A$2:$A$500,0)),)</f>
        <v>204.16</v>
      </c>
      <c r="P18" s="103">
        <f t="shared" si="2"/>
        <v>3266.56</v>
      </c>
      <c r="Q18" s="95"/>
      <c r="R18" s="115"/>
    </row>
    <row r="19" spans="1:18" x14ac:dyDescent="0.2">
      <c r="A19" s="100" t="str">
        <f t="shared" si="1"/>
        <v/>
      </c>
      <c r="B19" s="72">
        <v>250</v>
      </c>
      <c r="C19" s="107" t="str">
        <f>IFERROR(INDEX(Logs!$B$2:$B$500,MATCH('Beneficiaries (13)'!$B19,Logs!$A$2:$A$500,0)),"")</f>
        <v>Jeannette</v>
      </c>
      <c r="D19" s="107" t="str">
        <f>IFERROR(INDEX(Logs!$C$2:$C$500,MATCH('Beneficiaries (13)'!$B19,Logs!$A$2:$A$500,0)),"")</f>
        <v>Vutelwa</v>
      </c>
      <c r="E19" s="108" t="str">
        <f>IFERROR(INDEX(Logs!$D$2:$D$500,MATCH('Beneficiaries (13)'!$B19,Logs!$A$2:$A$500,0)),"")</f>
        <v>9012121641084</v>
      </c>
      <c r="F19" s="73" t="s">
        <v>761</v>
      </c>
      <c r="G19" s="101" t="str">
        <f t="shared" si="0"/>
        <v>F</v>
      </c>
      <c r="H19" s="72" t="s">
        <v>761</v>
      </c>
      <c r="I19" s="72" t="s">
        <v>762</v>
      </c>
      <c r="J19" s="111" t="str">
        <f>IFERROR(INDEX(Logs!$E$2:$E$500,MATCH('Beneficiaries (13)'!$B19,Logs!$A$2:$A$500,0)),"")</f>
        <v>01/08/2023</v>
      </c>
      <c r="K19" s="111" t="str">
        <f>IFERROR(INDEX(Logs!$F$2:$F$500,MATCH('Beneficiaries (13)'!$B19,Logs!$A$2:$A$500,0)),"")</f>
        <v>30/06/2024</v>
      </c>
      <c r="L19" s="111">
        <f>IFERROR(INDEX(Logs!$G$2:$G$500,MATCH('Beneficiaries (13)'!$B19,Logs!$A$2:$A$500,0)),0)</f>
        <v>16</v>
      </c>
      <c r="M19" s="72">
        <v>0</v>
      </c>
      <c r="N19" s="101">
        <f t="shared" si="3"/>
        <v>16</v>
      </c>
      <c r="O19" s="102">
        <f>IFERROR(INDEX(Logs!$H$2:$H$500,MATCH('Beneficiaries (13)'!$B19,Logs!$A$2:$A$500,0)),)</f>
        <v>204.16</v>
      </c>
      <c r="P19" s="103">
        <f t="shared" si="2"/>
        <v>3266.56</v>
      </c>
      <c r="Q19" s="95"/>
      <c r="R19" s="115"/>
    </row>
    <row r="20" spans="1:18" x14ac:dyDescent="0.2">
      <c r="A20" s="100" t="str">
        <f t="shared" si="1"/>
        <v/>
      </c>
      <c r="B20" s="72">
        <v>251</v>
      </c>
      <c r="C20" s="107" t="str">
        <f>IFERROR(INDEX(Logs!$B$2:$B$500,MATCH('Beneficiaries (13)'!$B20,Logs!$A$2:$A$500,0)),"")</f>
        <v>Nondenzeni</v>
      </c>
      <c r="D20" s="107" t="str">
        <f>IFERROR(INDEX(Logs!$C$2:$C$500,MATCH('Beneficiaries (13)'!$B20,Logs!$A$2:$A$500,0)),"")</f>
        <v>Kostawuli</v>
      </c>
      <c r="E20" s="108" t="str">
        <f>IFERROR(INDEX(Logs!$D$2:$D$500,MATCH('Beneficiaries (13)'!$B20,Logs!$A$2:$A$500,0)),"")</f>
        <v>8101100809084</v>
      </c>
      <c r="F20" s="73" t="s">
        <v>761</v>
      </c>
      <c r="G20" s="101" t="str">
        <f t="shared" si="0"/>
        <v>F</v>
      </c>
      <c r="H20" s="72" t="s">
        <v>761</v>
      </c>
      <c r="I20" s="72" t="s">
        <v>762</v>
      </c>
      <c r="J20" s="111" t="str">
        <f>IFERROR(INDEX(Logs!$E$2:$E$500,MATCH('Beneficiaries (13)'!$B20,Logs!$A$2:$A$500,0)),"")</f>
        <v>01/08/2023</v>
      </c>
      <c r="K20" s="111" t="str">
        <f>IFERROR(INDEX(Logs!$F$2:$F$500,MATCH('Beneficiaries (13)'!$B20,Logs!$A$2:$A$500,0)),"")</f>
        <v>30/06/2024</v>
      </c>
      <c r="L20" s="111">
        <f>IFERROR(INDEX(Logs!$G$2:$G$500,MATCH('Beneficiaries (13)'!$B20,Logs!$A$2:$A$500,0)),0)</f>
        <v>16</v>
      </c>
      <c r="M20" s="72">
        <v>0</v>
      </c>
      <c r="N20" s="101">
        <f t="shared" si="3"/>
        <v>16</v>
      </c>
      <c r="O20" s="102">
        <f>IFERROR(INDEX(Logs!$H$2:$H$500,MATCH('Beneficiaries (13)'!$B20,Logs!$A$2:$A$500,0)),)</f>
        <v>204.16</v>
      </c>
      <c r="P20" s="103">
        <f t="shared" si="2"/>
        <v>3266.56</v>
      </c>
      <c r="Q20" s="95"/>
      <c r="R20" s="115"/>
    </row>
    <row r="21" spans="1:18" x14ac:dyDescent="0.2">
      <c r="A21" s="100" t="str">
        <f t="shared" si="1"/>
        <v/>
      </c>
      <c r="B21" s="72">
        <v>252</v>
      </c>
      <c r="C21" s="107" t="str">
        <f>IFERROR(INDEX(Logs!$B$2:$B$500,MATCH('Beneficiaries (13)'!$B21,Logs!$A$2:$A$500,0)),"")</f>
        <v>Zandile</v>
      </c>
      <c r="D21" s="107" t="str">
        <f>IFERROR(INDEX(Logs!$C$2:$C$500,MATCH('Beneficiaries (13)'!$B21,Logs!$A$2:$A$500,0)),"")</f>
        <v>Moshani</v>
      </c>
      <c r="E21" s="108" t="str">
        <f>IFERROR(INDEX(Logs!$D$2:$D$500,MATCH('Beneficiaries (13)'!$B21,Logs!$A$2:$A$500,0)),"")</f>
        <v>9108201030089</v>
      </c>
      <c r="F21" s="73" t="s">
        <v>761</v>
      </c>
      <c r="G21" s="101" t="str">
        <f t="shared" si="0"/>
        <v>F</v>
      </c>
      <c r="H21" s="72" t="s">
        <v>761</v>
      </c>
      <c r="I21" s="72" t="s">
        <v>762</v>
      </c>
      <c r="J21" s="111" t="str">
        <f>IFERROR(INDEX(Logs!$E$2:$E$500,MATCH('Beneficiaries (13)'!$B21,Logs!$A$2:$A$500,0)),"")</f>
        <v>01/08/2023</v>
      </c>
      <c r="K21" s="111" t="str">
        <f>IFERROR(INDEX(Logs!$F$2:$F$500,MATCH('Beneficiaries (13)'!$B21,Logs!$A$2:$A$500,0)),"")</f>
        <v>30/06/2024</v>
      </c>
      <c r="L21" s="111">
        <f>IFERROR(INDEX(Logs!$G$2:$G$500,MATCH('Beneficiaries (13)'!$B21,Logs!$A$2:$A$500,0)),0)</f>
        <v>16</v>
      </c>
      <c r="M21" s="72">
        <v>0</v>
      </c>
      <c r="N21" s="101">
        <f t="shared" si="3"/>
        <v>16</v>
      </c>
      <c r="O21" s="102">
        <f>IFERROR(INDEX(Logs!$H$2:$H$500,MATCH('Beneficiaries (13)'!$B21,Logs!$A$2:$A$500,0)),)</f>
        <v>204.16</v>
      </c>
      <c r="P21" s="103">
        <f t="shared" si="2"/>
        <v>3266.56</v>
      </c>
      <c r="Q21" s="95"/>
    </row>
    <row r="22" spans="1:18" x14ac:dyDescent="0.2">
      <c r="A22" s="100" t="str">
        <f t="shared" si="1"/>
        <v/>
      </c>
      <c r="B22" s="72">
        <v>253</v>
      </c>
      <c r="C22" s="109" t="str">
        <f>IFERROR(INDEX(Logs!$B$2:$B$500,MATCH('Beneficiaries (13)'!$B22,Logs!$A$2:$A$500,0)),"")</f>
        <v>Nokulunga</v>
      </c>
      <c r="D22" s="107" t="str">
        <f>IFERROR(INDEX(Logs!$C$2:$C$500,MATCH('Beneficiaries (13)'!$B22,Logs!$A$2:$A$500,0)),"")</f>
        <v>Mchako</v>
      </c>
      <c r="E22" s="108" t="str">
        <f>IFERROR(INDEX(Logs!$D$2:$D$500,MATCH('Beneficiaries (13)'!$B22,Logs!$A$2:$A$500,0)),"")</f>
        <v>7306101437089</v>
      </c>
      <c r="F22" s="73" t="s">
        <v>761</v>
      </c>
      <c r="G22" s="101" t="str">
        <f t="shared" si="0"/>
        <v>F</v>
      </c>
      <c r="H22" s="72" t="s">
        <v>761</v>
      </c>
      <c r="I22" s="72" t="s">
        <v>762</v>
      </c>
      <c r="J22" s="111" t="str">
        <f>IFERROR(INDEX(Logs!$E$2:$E$500,MATCH('Beneficiaries (13)'!$B22,Logs!$A$2:$A$500,0)),"")</f>
        <v>01/08/2023</v>
      </c>
      <c r="K22" s="111" t="str">
        <f>IFERROR(INDEX(Logs!$F$2:$F$500,MATCH('Beneficiaries (13)'!$B22,Logs!$A$2:$A$500,0)),"")</f>
        <v>30/06/2024</v>
      </c>
      <c r="L22" s="111">
        <f>IFERROR(INDEX(Logs!$G$2:$G$500,MATCH('Beneficiaries (13)'!$B22,Logs!$A$2:$A$500,0)),0)</f>
        <v>16</v>
      </c>
      <c r="M22" s="72">
        <v>0</v>
      </c>
      <c r="N22" s="101">
        <f t="shared" si="3"/>
        <v>16</v>
      </c>
      <c r="O22" s="102">
        <f>IFERROR(INDEX(Logs!$H$2:$H$500,MATCH('Beneficiaries (13)'!$B22,Logs!$A$2:$A$500,0)),)</f>
        <v>204.16</v>
      </c>
      <c r="P22" s="103">
        <f t="shared" si="2"/>
        <v>3266.56</v>
      </c>
      <c r="Q22" s="95"/>
    </row>
    <row r="23" spans="1:18" x14ac:dyDescent="0.2">
      <c r="A23" s="100" t="str">
        <f t="shared" si="1"/>
        <v/>
      </c>
      <c r="B23" s="72">
        <v>254</v>
      </c>
      <c r="C23" s="109" t="str">
        <f>IFERROR(INDEX(Logs!$B$2:$B$500,MATCH('Beneficiaries (13)'!$B23,Logs!$A$2:$A$500,0)),"")</f>
        <v>Nompumezo</v>
      </c>
      <c r="D23" s="107" t="str">
        <f>IFERROR(INDEX(Logs!$C$2:$C$500,MATCH('Beneficiaries (13)'!$B23,Logs!$A$2:$A$500,0)),"")</f>
        <v>Jaxa</v>
      </c>
      <c r="E23" s="108" t="str">
        <f>IFERROR(INDEX(Logs!$D$2:$D$500,MATCH('Beneficiaries (13)'!$B23,Logs!$A$2:$A$500,0)),"")</f>
        <v>6407150828086</v>
      </c>
      <c r="F23" s="73" t="s">
        <v>761</v>
      </c>
      <c r="G23" s="101" t="str">
        <f t="shared" si="0"/>
        <v>F</v>
      </c>
      <c r="H23" s="72" t="s">
        <v>761</v>
      </c>
      <c r="I23" s="72" t="s">
        <v>762</v>
      </c>
      <c r="J23" s="111" t="str">
        <f>IFERROR(INDEX(Logs!$E$2:$E$500,MATCH('Beneficiaries (13)'!$B23,Logs!$A$2:$A$500,0)),"")</f>
        <v>01/08/2023</v>
      </c>
      <c r="K23" s="111" t="str">
        <f>IFERROR(INDEX(Logs!$F$2:$F$500,MATCH('Beneficiaries (13)'!$B23,Logs!$A$2:$A$500,0)),"")</f>
        <v>30/06/2024</v>
      </c>
      <c r="L23" s="111">
        <f>IFERROR(INDEX(Logs!$G$2:$G$500,MATCH('Beneficiaries (13)'!$B23,Logs!$A$2:$A$500,0)),0)</f>
        <v>16</v>
      </c>
      <c r="M23" s="72">
        <v>0</v>
      </c>
      <c r="N23" s="101">
        <f t="shared" si="3"/>
        <v>16</v>
      </c>
      <c r="O23" s="102">
        <f>IFERROR(INDEX(Logs!$H$2:$H$500,MATCH('Beneficiaries (13)'!$B23,Logs!$A$2:$A$500,0)),)</f>
        <v>204.16</v>
      </c>
      <c r="P23" s="103">
        <f t="shared" si="2"/>
        <v>3266.56</v>
      </c>
      <c r="Q23" s="95"/>
    </row>
    <row r="24" spans="1:18" x14ac:dyDescent="0.2">
      <c r="A24" s="100" t="str">
        <f t="shared" si="1"/>
        <v/>
      </c>
      <c r="B24" s="72">
        <v>255</v>
      </c>
      <c r="C24" s="109" t="str">
        <f>IFERROR(INDEX(Logs!$B$2:$B$500,MATCH('Beneficiaries (13)'!$B24,Logs!$A$2:$A$500,0)),"")</f>
        <v>Thelela</v>
      </c>
      <c r="D24" s="107" t="str">
        <f>IFERROR(INDEX(Logs!$C$2:$C$500,MATCH('Beneficiaries (13)'!$B24,Logs!$A$2:$A$500,0)),"")</f>
        <v>Kostawuli</v>
      </c>
      <c r="E24" s="108" t="str">
        <f>IFERROR(INDEX(Logs!$D$2:$D$500,MATCH('Beneficiaries (13)'!$B24,Logs!$A$2:$A$500,0)),"")</f>
        <v>8101090751080</v>
      </c>
      <c r="F24" s="73" t="s">
        <v>761</v>
      </c>
      <c r="G24" s="101" t="str">
        <f t="shared" si="0"/>
        <v>F</v>
      </c>
      <c r="H24" s="72" t="s">
        <v>761</v>
      </c>
      <c r="I24" s="72" t="s">
        <v>762</v>
      </c>
      <c r="J24" s="111" t="str">
        <f>IFERROR(INDEX(Logs!$E$2:$E$500,MATCH('Beneficiaries (13)'!$B24,Logs!$A$2:$A$500,0)),"")</f>
        <v>01/08/2023</v>
      </c>
      <c r="K24" s="111" t="str">
        <f>IFERROR(INDEX(Logs!$F$2:$F$500,MATCH('Beneficiaries (13)'!$B24,Logs!$A$2:$A$500,0)),"")</f>
        <v>30/06/2024</v>
      </c>
      <c r="L24" s="111">
        <f>IFERROR(INDEX(Logs!$G$2:$G$500,MATCH('Beneficiaries (13)'!$B24,Logs!$A$2:$A$500,0)),0)</f>
        <v>16</v>
      </c>
      <c r="M24" s="72">
        <v>0</v>
      </c>
      <c r="N24" s="101">
        <f t="shared" si="3"/>
        <v>16</v>
      </c>
      <c r="O24" s="102">
        <f>IFERROR(INDEX(Logs!$H$2:$H$500,MATCH('Beneficiaries (13)'!$B24,Logs!$A$2:$A$500,0)),)</f>
        <v>204.16</v>
      </c>
      <c r="P24" s="103">
        <f t="shared" si="2"/>
        <v>3266.56</v>
      </c>
      <c r="Q24" s="95"/>
    </row>
    <row r="25" spans="1:18" x14ac:dyDescent="0.2">
      <c r="A25" s="100" t="str">
        <f t="shared" si="1"/>
        <v/>
      </c>
      <c r="B25" s="72">
        <v>256</v>
      </c>
      <c r="C25" s="110" t="str">
        <f>IFERROR(INDEX(Logs!$B$2:$B$500,MATCH('Beneficiaries (13)'!$B25,Logs!$A$2:$A$500,0)),"")</f>
        <v>Thumeka</v>
      </c>
      <c r="D25" s="107" t="str">
        <f>IFERROR(INDEX(Logs!$C$2:$C$500,MATCH('Beneficiaries (13)'!$B25,Logs!$A$2:$A$500,0)),"")</f>
        <v>Gcora</v>
      </c>
      <c r="E25" s="108" t="str">
        <f>IFERROR(INDEX(Logs!$D$2:$D$500,MATCH('Beneficiaries (13)'!$B25,Logs!$A$2:$A$500,0)),"")</f>
        <v>7501101287084</v>
      </c>
      <c r="F25" s="73" t="s">
        <v>761</v>
      </c>
      <c r="G25" s="101" t="str">
        <f t="shared" si="0"/>
        <v>F</v>
      </c>
      <c r="H25" s="72" t="s">
        <v>761</v>
      </c>
      <c r="I25" s="72" t="s">
        <v>762</v>
      </c>
      <c r="J25" s="111" t="str">
        <f>IFERROR(INDEX(Logs!$E$2:$E$500,MATCH('Beneficiaries (13)'!$B25,Logs!$A$2:$A$500,0)),"")</f>
        <v>01/08/2023</v>
      </c>
      <c r="K25" s="111" t="str">
        <f>IFERROR(INDEX(Logs!$F$2:$F$500,MATCH('Beneficiaries (13)'!$B25,Logs!$A$2:$A$500,0)),"")</f>
        <v>30/06/2024</v>
      </c>
      <c r="L25" s="111">
        <f>IFERROR(INDEX(Logs!$G$2:$G$500,MATCH('Beneficiaries (13)'!$B25,Logs!$A$2:$A$500,0)),0)</f>
        <v>16</v>
      </c>
      <c r="M25" s="72">
        <v>0</v>
      </c>
      <c r="N25" s="101">
        <f t="shared" si="3"/>
        <v>16</v>
      </c>
      <c r="O25" s="102">
        <f>IFERROR(INDEX(Logs!$H$2:$H$500,MATCH('Beneficiaries (13)'!$B25,Logs!$A$2:$A$500,0)),)</f>
        <v>204.16</v>
      </c>
      <c r="P25" s="103">
        <f t="shared" si="2"/>
        <v>3266.56</v>
      </c>
      <c r="Q25" s="95"/>
    </row>
    <row r="26" spans="1:18" x14ac:dyDescent="0.2">
      <c r="A26" s="100" t="str">
        <f t="shared" si="1"/>
        <v/>
      </c>
      <c r="B26" s="72">
        <v>257</v>
      </c>
      <c r="C26" s="110" t="str">
        <f>IFERROR(INDEX(Logs!$B$2:$B$500,MATCH('Beneficiaries (13)'!$B26,Logs!$A$2:$A$500,0)),"")</f>
        <v>Nomfuneko</v>
      </c>
      <c r="D26" s="107" t="str">
        <f>IFERROR(INDEX(Logs!$C$2:$C$500,MATCH('Beneficiaries (13)'!$B26,Logs!$A$2:$A$500,0)),"")</f>
        <v>Nake</v>
      </c>
      <c r="E26" s="108" t="str">
        <f>IFERROR(INDEX(Logs!$D$2:$D$500,MATCH('Beneficiaries (13)'!$B26,Logs!$A$2:$A$500,0)),"")</f>
        <v>7908080699082</v>
      </c>
      <c r="F26" s="73" t="s">
        <v>761</v>
      </c>
      <c r="G26" s="101" t="str">
        <f t="shared" si="0"/>
        <v>F</v>
      </c>
      <c r="H26" s="72" t="s">
        <v>761</v>
      </c>
      <c r="I26" s="72" t="s">
        <v>762</v>
      </c>
      <c r="J26" s="111" t="str">
        <f>IFERROR(INDEX(Logs!$E$2:$E$500,MATCH('Beneficiaries (13)'!$B26,Logs!$A$2:$A$500,0)),"")</f>
        <v>01/08/2023</v>
      </c>
      <c r="K26" s="111" t="str">
        <f>IFERROR(INDEX(Logs!$F$2:$F$500,MATCH('Beneficiaries (13)'!$B26,Logs!$A$2:$A$500,0)),"")</f>
        <v>30/06/2024</v>
      </c>
      <c r="L26" s="111">
        <f>IFERROR(INDEX(Logs!$G$2:$G$500,MATCH('Beneficiaries (13)'!$B26,Logs!$A$2:$A$500,0)),0)</f>
        <v>16</v>
      </c>
      <c r="M26" s="72">
        <v>0</v>
      </c>
      <c r="N26" s="101">
        <f t="shared" si="3"/>
        <v>16</v>
      </c>
      <c r="O26" s="102">
        <f>IFERROR(INDEX(Logs!$H$2:$H$500,MATCH('Beneficiaries (13)'!$B26,Logs!$A$2:$A$500,0)),)</f>
        <v>204.16</v>
      </c>
      <c r="P26" s="103">
        <f t="shared" si="2"/>
        <v>3266.56</v>
      </c>
      <c r="Q26" s="95"/>
    </row>
    <row r="27" spans="1:18" x14ac:dyDescent="0.2">
      <c r="A27" s="100" t="str">
        <f t="shared" si="1"/>
        <v/>
      </c>
      <c r="B27" s="72">
        <v>258</v>
      </c>
      <c r="C27" s="110" t="str">
        <f>IFERROR(INDEX(Logs!$B$2:$B$500,MATCH('Beneficiaries (13)'!$B27,Logs!$A$2:$A$500,0)),"")</f>
        <v>Athi</v>
      </c>
      <c r="D27" s="107" t="str">
        <f>IFERROR(INDEX(Logs!$C$2:$C$500,MATCH('Beneficiaries (13)'!$B27,Logs!$A$2:$A$500,0)),"")</f>
        <v>Mandi</v>
      </c>
      <c r="E27" s="108" t="str">
        <f>IFERROR(INDEX(Logs!$D$2:$D$500,MATCH('Beneficiaries (13)'!$B27,Logs!$A$2:$A$500,0)),"")</f>
        <v>8910151284082</v>
      </c>
      <c r="F27" s="73" t="s">
        <v>761</v>
      </c>
      <c r="G27" s="101" t="str">
        <f t="shared" si="0"/>
        <v>F</v>
      </c>
      <c r="H27" s="72" t="s">
        <v>761</v>
      </c>
      <c r="I27" s="72" t="s">
        <v>762</v>
      </c>
      <c r="J27" s="111" t="str">
        <f>IFERROR(INDEX(Logs!$E$2:$E$500,MATCH('Beneficiaries (13)'!$B27,Logs!$A$2:$A$500,0)),"")</f>
        <v>01/08/2023</v>
      </c>
      <c r="K27" s="111" t="str">
        <f>IFERROR(INDEX(Logs!$F$2:$F$500,MATCH('Beneficiaries (13)'!$B27,Logs!$A$2:$A$500,0)),"")</f>
        <v>30/06/2024</v>
      </c>
      <c r="L27" s="111">
        <f>IFERROR(INDEX(Logs!$G$2:$G$500,MATCH('Beneficiaries (13)'!$B27,Logs!$A$2:$A$500,0)),0)</f>
        <v>16</v>
      </c>
      <c r="M27" s="72">
        <v>0</v>
      </c>
      <c r="N27" s="101">
        <f t="shared" si="3"/>
        <v>16</v>
      </c>
      <c r="O27" s="102">
        <f>IFERROR(INDEX(Logs!$H$2:$H$500,MATCH('Beneficiaries (13)'!$B27,Logs!$A$2:$A$500,0)),)</f>
        <v>204.16</v>
      </c>
      <c r="P27" s="103">
        <f t="shared" si="2"/>
        <v>3266.56</v>
      </c>
      <c r="Q27" s="95"/>
    </row>
    <row r="28" spans="1:18" x14ac:dyDescent="0.2">
      <c r="A28" s="100" t="str">
        <f t="shared" si="1"/>
        <v/>
      </c>
      <c r="B28" s="72">
        <v>259</v>
      </c>
      <c r="C28" s="110" t="str">
        <f>IFERROR(INDEX(Logs!$B$2:$B$500,MATCH('Beneficiaries (13)'!$B28,Logs!$A$2:$A$500,0)),"")</f>
        <v>Thembakazi</v>
      </c>
      <c r="D28" s="107" t="str">
        <f>IFERROR(INDEX(Logs!$C$2:$C$500,MATCH('Beneficiaries (13)'!$B28,Logs!$A$2:$A$500,0)),"")</f>
        <v>Hiliza</v>
      </c>
      <c r="E28" s="108" t="str">
        <f>IFERROR(INDEX(Logs!$D$2:$D$500,MATCH('Beneficiaries (13)'!$B28,Logs!$A$2:$A$500,0)),"")</f>
        <v>8610111027080</v>
      </c>
      <c r="F28" s="73" t="s">
        <v>761</v>
      </c>
      <c r="G28" s="101" t="str">
        <f t="shared" si="0"/>
        <v>F</v>
      </c>
      <c r="H28" s="72" t="s">
        <v>761</v>
      </c>
      <c r="I28" s="72" t="s">
        <v>762</v>
      </c>
      <c r="J28" s="111" t="str">
        <f>IFERROR(INDEX(Logs!$E$2:$E$500,MATCH('Beneficiaries (13)'!$B28,Logs!$A$2:$A$500,0)),"")</f>
        <v>01/08/2023</v>
      </c>
      <c r="K28" s="111" t="str">
        <f>IFERROR(INDEX(Logs!$F$2:$F$500,MATCH('Beneficiaries (13)'!$B28,Logs!$A$2:$A$500,0)),"")</f>
        <v>30/06/2024</v>
      </c>
      <c r="L28" s="111">
        <f>IFERROR(INDEX(Logs!$G$2:$G$500,MATCH('Beneficiaries (13)'!$B28,Logs!$A$2:$A$500,0)),0)</f>
        <v>16</v>
      </c>
      <c r="M28" s="72">
        <v>0</v>
      </c>
      <c r="N28" s="101">
        <f t="shared" si="3"/>
        <v>16</v>
      </c>
      <c r="O28" s="102">
        <f>IFERROR(INDEX(Logs!$H$2:$H$500,MATCH('Beneficiaries (13)'!$B28,Logs!$A$2:$A$500,0)),)</f>
        <v>204.16</v>
      </c>
      <c r="P28" s="103">
        <f t="shared" si="2"/>
        <v>3266.56</v>
      </c>
      <c r="Q28" s="95"/>
    </row>
    <row r="29" spans="1:18" x14ac:dyDescent="0.2">
      <c r="A29" s="100" t="str">
        <f t="shared" si="1"/>
        <v/>
      </c>
      <c r="B29" s="72">
        <v>260</v>
      </c>
      <c r="C29" s="110" t="str">
        <f>IFERROR(INDEX(Logs!$B$2:$B$500,MATCH('Beneficiaries (13)'!$B29,Logs!$A$2:$A$500,0)),"")</f>
        <v>Nokuzula</v>
      </c>
      <c r="D29" s="110" t="str">
        <f>IFERROR(INDEX(Logs!$C$2:$C$500,MATCH('Beneficiaries (13)'!$B29,Logs!$A$2:$A$500,0)),"")</f>
        <v>Qolo</v>
      </c>
      <c r="E29" s="108" t="str">
        <f>IFERROR(INDEX(Logs!$D$2:$D$500,MATCH('Beneficiaries (13)'!$B29,Logs!$A$2:$A$500,0)),"")</f>
        <v>7204051153089</v>
      </c>
      <c r="F29" s="73" t="s">
        <v>761</v>
      </c>
      <c r="G29" s="101" t="str">
        <f t="shared" si="0"/>
        <v>F</v>
      </c>
      <c r="H29" s="72" t="s">
        <v>761</v>
      </c>
      <c r="I29" s="72" t="s">
        <v>762</v>
      </c>
      <c r="J29" s="111" t="str">
        <f>IFERROR(INDEX(Logs!$E$2:$E$500,MATCH('Beneficiaries (13)'!$B29,Logs!$A$2:$A$500,0)),"")</f>
        <v>01/08/2023</v>
      </c>
      <c r="K29" s="111" t="str">
        <f>IFERROR(INDEX(Logs!$F$2:$F$500,MATCH('Beneficiaries (13)'!$B29,Logs!$A$2:$A$500,0)),"")</f>
        <v>30/06/2024</v>
      </c>
      <c r="L29" s="111">
        <f>IFERROR(INDEX(Logs!$G$2:$G$500,MATCH('Beneficiaries (13)'!$B29,Logs!$A$2:$A$500,0)),0)</f>
        <v>16</v>
      </c>
      <c r="M29" s="72">
        <v>0</v>
      </c>
      <c r="N29" s="101">
        <f t="shared" si="3"/>
        <v>16</v>
      </c>
      <c r="O29" s="102">
        <f>IFERROR(INDEX(Logs!$H$2:$H$500,MATCH('Beneficiaries (13)'!$B29,Logs!$A$2:$A$500,0)),)</f>
        <v>204.16</v>
      </c>
      <c r="P29" s="103">
        <f t="shared" si="2"/>
        <v>3266.56</v>
      </c>
      <c r="Q29" s="95"/>
    </row>
    <row r="30" spans="1:18" x14ac:dyDescent="0.2"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104">
        <f>SUM(L10:L29)</f>
        <v>320</v>
      </c>
      <c r="M30" s="104">
        <f>SUM(M10:M29)</f>
        <v>0</v>
      </c>
      <c r="N30" s="104">
        <f>SUM(N10:N29)</f>
        <v>320</v>
      </c>
      <c r="O30" s="105">
        <f>SUM(O10:O29)</f>
        <v>4111.0399999999991</v>
      </c>
      <c r="P30" s="106">
        <f>SUM(P10:P29)</f>
        <v>65776.639999999985</v>
      </c>
      <c r="Q30" s="97"/>
    </row>
    <row r="31" spans="1:18" ht="27" customHeight="1" x14ac:dyDescent="0.2">
      <c r="B31" s="217" t="s">
        <v>98</v>
      </c>
      <c r="C31" s="217"/>
      <c r="D31" s="98" t="s">
        <v>97</v>
      </c>
      <c r="E31" s="218" t="str">
        <f>Project!$G$30</f>
        <v>Benjamin Milandou-Loubeka</v>
      </c>
      <c r="F31" s="218"/>
      <c r="G31" s="218"/>
      <c r="H31" s="219" t="s">
        <v>101</v>
      </c>
      <c r="I31" s="220"/>
      <c r="J31" s="220"/>
      <c r="K31" s="220"/>
      <c r="L31" s="220"/>
      <c r="M31" s="220"/>
      <c r="N31" s="220"/>
      <c r="O31" s="220"/>
      <c r="P31" s="220"/>
      <c r="Q31" s="87"/>
    </row>
    <row r="32" spans="1:18" ht="27" customHeight="1" x14ac:dyDescent="0.2">
      <c r="B32" s="217"/>
      <c r="C32" s="217"/>
      <c r="D32" s="98" t="s">
        <v>100</v>
      </c>
      <c r="E32" s="221">
        <f>Project!$AN$1</f>
        <v>45199</v>
      </c>
      <c r="F32" s="221"/>
      <c r="G32" s="221"/>
      <c r="H32" s="219"/>
      <c r="I32" s="220"/>
      <c r="J32" s="220"/>
      <c r="K32" s="220"/>
      <c r="L32" s="220"/>
      <c r="M32" s="220"/>
      <c r="N32" s="220"/>
      <c r="O32" s="220"/>
      <c r="P32" s="220"/>
      <c r="Q32" s="87"/>
    </row>
    <row r="33" spans="2:17" ht="14.25" customHeight="1" x14ac:dyDescent="0.2">
      <c r="B33" s="88"/>
      <c r="C33" s="88"/>
      <c r="D33" s="99"/>
      <c r="E33" s="87"/>
      <c r="F33" s="87"/>
      <c r="G33" s="87"/>
      <c r="H33" s="81"/>
      <c r="I33" s="87"/>
      <c r="J33" s="87"/>
      <c r="K33" s="87"/>
      <c r="L33" s="87"/>
      <c r="M33" s="87"/>
      <c r="N33" s="87"/>
      <c r="O33" s="87"/>
      <c r="P33" s="87"/>
      <c r="Q33" s="87"/>
    </row>
    <row r="34" spans="2:17" ht="27" customHeight="1" x14ac:dyDescent="0.2">
      <c r="B34" s="217" t="s">
        <v>99</v>
      </c>
      <c r="C34" s="217"/>
      <c r="D34" s="98" t="s">
        <v>97</v>
      </c>
      <c r="E34" s="220"/>
      <c r="F34" s="220"/>
      <c r="G34" s="220"/>
      <c r="H34" s="219" t="s">
        <v>101</v>
      </c>
      <c r="I34" s="220"/>
      <c r="J34" s="220"/>
      <c r="K34" s="220"/>
      <c r="L34" s="220"/>
      <c r="M34" s="220"/>
      <c r="N34" s="220"/>
      <c r="O34" s="220"/>
      <c r="P34" s="220"/>
      <c r="Q34" s="87"/>
    </row>
    <row r="35" spans="2:17" ht="27" customHeight="1" x14ac:dyDescent="0.2">
      <c r="B35" s="217"/>
      <c r="C35" s="217"/>
      <c r="D35" s="98" t="s">
        <v>100</v>
      </c>
      <c r="E35" s="220"/>
      <c r="F35" s="220"/>
      <c r="G35" s="220"/>
      <c r="H35" s="219"/>
      <c r="I35" s="220"/>
      <c r="J35" s="220"/>
      <c r="K35" s="220"/>
      <c r="L35" s="220"/>
      <c r="M35" s="220"/>
      <c r="N35" s="220"/>
      <c r="O35" s="220"/>
      <c r="P35" s="220"/>
      <c r="Q35" s="87"/>
    </row>
    <row r="74" spans="2:2" x14ac:dyDescent="0.2">
      <c r="B74" s="87"/>
    </row>
  </sheetData>
  <sheetProtection algorithmName="SHA-512" hashValue="ew+kKK+xzzy3arScYTtztrHap1tfaEUHwXApV/DRwwBdg8sQgC4vhX2b6WAMLGfZ8PZlYU736jXU9LNT6q4LOw==" saltValue="wsZBuOGOTx3oFPsU8LTqSw==" spinCount="100000" sheet="1" selectLockedCells="1"/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conditionalFormatting sqref="C10:C21">
    <cfRule type="uniqueValues" dxfId="26" priority="9"/>
  </conditionalFormatting>
  <conditionalFormatting sqref="D10:D20">
    <cfRule type="uniqueValues" dxfId="25" priority="8"/>
  </conditionalFormatting>
  <conditionalFormatting sqref="D21:D28">
    <cfRule type="uniqueValues" dxfId="24" priority="7"/>
  </conditionalFormatting>
  <conditionalFormatting sqref="F10:F29">
    <cfRule type="expression" dxfId="23" priority="6">
      <formula>$C10=""</formula>
    </cfRule>
  </conditionalFormatting>
  <conditionalFormatting sqref="H10:I29">
    <cfRule type="expression" dxfId="22" priority="5">
      <formula>$C10=""</formula>
    </cfRule>
  </conditionalFormatting>
  <conditionalFormatting sqref="B10:B29">
    <cfRule type="expression" dxfId="21" priority="4">
      <formula>$C10=""</formula>
    </cfRule>
  </conditionalFormatting>
  <conditionalFormatting sqref="L10:L29">
    <cfRule type="cellIs" dxfId="20" priority="3" operator="equal">
      <formula>0</formula>
    </cfRule>
  </conditionalFormatting>
  <conditionalFormatting sqref="M10:N29">
    <cfRule type="expression" dxfId="19" priority="2">
      <formula>$C10=""</formula>
    </cfRule>
  </conditionalFormatting>
  <conditionalFormatting sqref="O10:P29">
    <cfRule type="expression" dxfId="18" priority="1">
      <formula>$C10=""</formula>
    </cfRule>
  </conditionalFormatting>
  <dataValidations count="1">
    <dataValidation allowBlank="1" showInputMessage="1" showErrorMessage="1" promptTitle="Month" sqref="I6" xr:uid="{BC719F80-AFC2-447D-BCA7-44BFA9E12A0C}"/>
  </dataValidations>
  <pageMargins left="0.23622047244094491" right="0.23622047244094491" top="0.74803149606299213" bottom="0.74803149606299213" header="0.31496062992125984" footer="0.31496062992125984"/>
  <pageSetup paperSize="9" scale="86" fitToHeight="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34F3A-AF0A-4792-9F70-B5D083369E91}">
  <sheetPr codeName="Sheet28">
    <pageSetUpPr fitToPage="1"/>
  </sheetPr>
  <dimension ref="A1:R74"/>
  <sheetViews>
    <sheetView showGridLines="0" zoomScaleNormal="100" workbookViewId="0">
      <selection activeCell="B5" sqref="B5:C6"/>
    </sheetView>
  </sheetViews>
  <sheetFormatPr defaultColWidth="8.85546875" defaultRowHeight="12.75" x14ac:dyDescent="0.2"/>
  <cols>
    <col min="1" max="1" width="20.7109375" style="76" customWidth="1"/>
    <col min="2" max="2" width="4.42578125" style="80" customWidth="1"/>
    <col min="3" max="5" width="24.42578125" style="80" customWidth="1"/>
    <col min="6" max="6" width="10.140625" style="80" customWidth="1"/>
    <col min="7" max="9" width="8.85546875" style="80"/>
    <col min="10" max="11" width="10.140625" style="80" bestFit="1" customWidth="1"/>
    <col min="12" max="15" width="13.7109375" style="80" customWidth="1"/>
    <col min="16" max="17" width="14.5703125" style="80" customWidth="1"/>
    <col min="18" max="18" width="8.85546875" style="150"/>
    <col min="19" max="16384" width="8.85546875" style="80"/>
  </cols>
  <sheetData>
    <row r="1" spans="1:18" ht="15.75" x14ac:dyDescent="0.25">
      <c r="B1" s="77" t="s">
        <v>44</v>
      </c>
      <c r="C1" s="78"/>
      <c r="D1" s="78"/>
      <c r="E1" s="79" t="s">
        <v>1</v>
      </c>
      <c r="G1" s="78"/>
      <c r="H1" s="78"/>
      <c r="I1" s="78"/>
      <c r="R1" s="114">
        <f>IF(Beneficiaries!$P$30&gt;0,1,"")</f>
        <v>1</v>
      </c>
    </row>
    <row r="2" spans="1:18" ht="15.75" x14ac:dyDescent="0.25"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114">
        <f>IF('Beneficiaries (2)'!$P$30&gt;0,1,"")</f>
        <v>1</v>
      </c>
    </row>
    <row r="3" spans="1:18" x14ac:dyDescent="0.2">
      <c r="B3" s="210" t="s">
        <v>28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81"/>
      <c r="R3" s="114">
        <f>IF('Beneficiaries (3)'!$P$30&gt;0,1,"")</f>
        <v>1</v>
      </c>
    </row>
    <row r="4" spans="1:18" x14ac:dyDescent="0.2">
      <c r="C4" s="77"/>
      <c r="D4" s="77"/>
      <c r="E4" s="77"/>
      <c r="F4" s="77"/>
      <c r="G4" s="77"/>
      <c r="R4" s="114">
        <f>IF('Beneficiaries (4)'!$P$30&gt;0,1,"")</f>
        <v>1</v>
      </c>
    </row>
    <row r="5" spans="1:18" ht="12.75" customHeight="1" x14ac:dyDescent="0.2">
      <c r="B5" s="211" t="s">
        <v>12</v>
      </c>
      <c r="C5" s="212"/>
      <c r="D5" s="215" t="str">
        <f>Project!$Z$25</f>
        <v>WSDS/24/111i</v>
      </c>
      <c r="E5" s="215"/>
      <c r="F5" s="82"/>
      <c r="H5" s="83" t="s">
        <v>80</v>
      </c>
      <c r="I5" s="83" t="s">
        <v>81</v>
      </c>
      <c r="J5" s="77"/>
      <c r="K5" s="216" t="s">
        <v>78</v>
      </c>
      <c r="L5" s="216"/>
      <c r="M5" s="216"/>
      <c r="N5" s="85"/>
      <c r="O5" s="85"/>
      <c r="P5" s="77"/>
      <c r="Q5" s="77"/>
      <c r="R5" s="114">
        <f>IF('Beneficiaries (5)'!$P$30&gt;0,1,"")</f>
        <v>1</v>
      </c>
    </row>
    <row r="6" spans="1:18" x14ac:dyDescent="0.2">
      <c r="B6" s="213"/>
      <c r="C6" s="214"/>
      <c r="D6" s="215"/>
      <c r="E6" s="215"/>
      <c r="F6" s="82"/>
      <c r="H6" s="112" t="str">
        <f>TEXT(Project!$AN$1,"YYYY")</f>
        <v>2023</v>
      </c>
      <c r="I6" s="112" t="str">
        <f>TEXT(Project!$AN$1,"MMMM")</f>
        <v>September</v>
      </c>
      <c r="J6" s="86"/>
      <c r="K6" s="57">
        <v>1</v>
      </c>
      <c r="L6" s="84" t="s">
        <v>79</v>
      </c>
      <c r="M6" s="113">
        <f>IF(K6&gt;0,COUNT(R1:R20),"")</f>
        <v>14</v>
      </c>
      <c r="N6" s="85"/>
      <c r="O6" s="85"/>
      <c r="P6" s="87"/>
      <c r="Q6" s="87"/>
      <c r="R6" s="114">
        <f>IF('Beneficiaries (6)'!$P$30&gt;0,1,"")</f>
        <v>1</v>
      </c>
    </row>
    <row r="7" spans="1:18" x14ac:dyDescent="0.2">
      <c r="B7" s="88"/>
      <c r="C7" s="88"/>
      <c r="D7" s="88"/>
      <c r="E7" s="87"/>
      <c r="F7" s="87"/>
      <c r="H7" s="86"/>
      <c r="I7" s="86"/>
      <c r="J7" s="86"/>
      <c r="K7" s="87"/>
      <c r="L7" s="85"/>
      <c r="M7" s="85"/>
      <c r="N7" s="85"/>
      <c r="O7" s="85"/>
      <c r="P7" s="87"/>
      <c r="Q7" s="87"/>
      <c r="R7" s="114">
        <f>IF('Beneficiaries (7)'!$P$30&gt;0,1,"")</f>
        <v>1</v>
      </c>
    </row>
    <row r="8" spans="1:18" x14ac:dyDescent="0.2">
      <c r="B8" s="89"/>
      <c r="C8" s="90" t="s">
        <v>34</v>
      </c>
      <c r="D8" s="90" t="s">
        <v>34</v>
      </c>
      <c r="E8" s="90" t="s">
        <v>34</v>
      </c>
      <c r="F8" s="90" t="s">
        <v>35</v>
      </c>
      <c r="G8" s="89"/>
      <c r="H8" s="89"/>
      <c r="I8" s="90" t="s">
        <v>36</v>
      </c>
      <c r="J8" s="89"/>
      <c r="K8" s="90" t="s">
        <v>37</v>
      </c>
      <c r="L8" s="90" t="s">
        <v>38</v>
      </c>
      <c r="M8" s="90" t="s">
        <v>42</v>
      </c>
      <c r="N8" s="90"/>
      <c r="O8" s="90" t="s">
        <v>104</v>
      </c>
      <c r="P8" s="90"/>
      <c r="Q8" s="91"/>
      <c r="R8" s="114">
        <f>IF('Beneficiaries (8)'!$P$30&gt;0,1,"")</f>
        <v>1</v>
      </c>
    </row>
    <row r="9" spans="1:18" ht="45" x14ac:dyDescent="0.2">
      <c r="B9" s="92" t="s">
        <v>29</v>
      </c>
      <c r="C9" s="92" t="s">
        <v>30</v>
      </c>
      <c r="D9" s="92" t="s">
        <v>31</v>
      </c>
      <c r="E9" s="92" t="s">
        <v>32</v>
      </c>
      <c r="F9" s="93" t="s">
        <v>96</v>
      </c>
      <c r="G9" s="93" t="s">
        <v>33</v>
      </c>
      <c r="H9" s="93" t="s">
        <v>76</v>
      </c>
      <c r="I9" s="93" t="s">
        <v>77</v>
      </c>
      <c r="J9" s="93" t="s">
        <v>95</v>
      </c>
      <c r="K9" s="93" t="s">
        <v>94</v>
      </c>
      <c r="L9" s="93" t="s">
        <v>41</v>
      </c>
      <c r="M9" s="93" t="s">
        <v>103</v>
      </c>
      <c r="N9" s="93" t="s">
        <v>116</v>
      </c>
      <c r="O9" s="93" t="s">
        <v>102</v>
      </c>
      <c r="P9" s="93" t="s">
        <v>117</v>
      </c>
      <c r="Q9" s="94"/>
      <c r="R9" s="114">
        <f>IF('Beneficiaries (9)'!$P$30&gt;0,1,"")</f>
        <v>1</v>
      </c>
    </row>
    <row r="10" spans="1:18" x14ac:dyDescent="0.2">
      <c r="A10" s="100" t="str">
        <f>ID_Valid(E10)</f>
        <v/>
      </c>
      <c r="B10" s="72">
        <v>261</v>
      </c>
      <c r="C10" s="107" t="str">
        <f>IFERROR(INDEX(Logs!$B$2:$B$500,MATCH('Beneficiaries (14)'!$B10,Logs!$A$2:$A$500,0)),"")</f>
        <v>Nomatamsanqa</v>
      </c>
      <c r="D10" s="107" t="str">
        <f>IFERROR(INDEX(Logs!$C$2:$C$500,MATCH('Beneficiaries (14)'!$B10,Logs!$A$2:$A$500,0)),"")</f>
        <v>Matebeni</v>
      </c>
      <c r="E10" s="108" t="str">
        <f>IFERROR(INDEX(Logs!$D$2:$D$500,MATCH('Beneficiaries (14)'!$B10,Logs!$A$2:$A$500,0)),"")</f>
        <v>7101140688085</v>
      </c>
      <c r="F10" s="73" t="s">
        <v>761</v>
      </c>
      <c r="G10" s="101" t="str">
        <f t="shared" ref="G10:G29" si="0">TheGender(E10)</f>
        <v>F</v>
      </c>
      <c r="H10" s="72" t="s">
        <v>761</v>
      </c>
      <c r="I10" s="74" t="s">
        <v>762</v>
      </c>
      <c r="J10" s="110" t="str">
        <f>IFERROR(INDEX(Logs!$E$2:$E$500,MATCH('Beneficiaries (14)'!$B10,Logs!$A$2:$A$500,0)),"")</f>
        <v>21/08/2023</v>
      </c>
      <c r="K10" s="110" t="str">
        <f>IFERROR(INDEX(Logs!$F$2:$F$500,MATCH('Beneficiaries (14)'!$B10,Logs!$A$2:$A$500,0)),"")</f>
        <v>30/06/2024</v>
      </c>
      <c r="L10" s="111">
        <f>IFERROR(INDEX(Logs!$G$2:$G$500,MATCH('Beneficiaries (14)'!$B10,Logs!$A$2:$A$500,0)),0)</f>
        <v>22</v>
      </c>
      <c r="M10" s="72">
        <v>0</v>
      </c>
      <c r="N10" s="101">
        <f>M10+L10</f>
        <v>22</v>
      </c>
      <c r="O10" s="102">
        <f>IFERROR(INDEX(Logs!$H$2:$H$500,MATCH('Beneficiaries (14)'!$B10,Logs!$A$2:$A$500,0)),)</f>
        <v>204.16</v>
      </c>
      <c r="P10" s="103">
        <f>IFERROR(N10*O10,0)</f>
        <v>4491.5199999999995</v>
      </c>
      <c r="Q10" s="95"/>
      <c r="R10" s="114">
        <f>IF('Beneficiaries (10)'!$P$30&gt;0,1,"")</f>
        <v>1</v>
      </c>
    </row>
    <row r="11" spans="1:18" x14ac:dyDescent="0.2">
      <c r="A11" s="100" t="str">
        <f t="shared" ref="A11:A29" si="1">ID_Valid(E11)</f>
        <v>INVALID ID - Check Digit</v>
      </c>
      <c r="B11" s="72">
        <v>262</v>
      </c>
      <c r="C11" s="107" t="str">
        <f>IFERROR(INDEX(Logs!$B$2:$B$500,MATCH('Beneficiaries (14)'!$B11,Logs!$A$2:$A$500,0)),"")</f>
        <v>Phumla</v>
      </c>
      <c r="D11" s="107" t="str">
        <f>IFERROR(INDEX(Logs!$C$2:$C$500,MATCH('Beneficiaries (14)'!$B11,Logs!$A$2:$A$500,0)),"")</f>
        <v>Valashiya</v>
      </c>
      <c r="E11" s="108" t="str">
        <f>IFERROR(INDEX(Logs!$D$2:$D$500,MATCH('Beneficiaries (14)'!$B11,Logs!$A$2:$A$500,0)),"")</f>
        <v>91112101224081</v>
      </c>
      <c r="F11" s="73" t="s">
        <v>761</v>
      </c>
      <c r="G11" s="101" t="str">
        <f t="shared" si="0"/>
        <v/>
      </c>
      <c r="H11" s="72" t="s">
        <v>761</v>
      </c>
      <c r="I11" s="72" t="s">
        <v>762</v>
      </c>
      <c r="J11" s="111" t="str">
        <f>IFERROR(INDEX(Logs!$E$2:$E$500,MATCH('Beneficiaries (14)'!$B11,Logs!$A$2:$A$500,0)),"")</f>
        <v>21/08/2023</v>
      </c>
      <c r="K11" s="111" t="str">
        <f>IFERROR(INDEX(Logs!$F$2:$F$500,MATCH('Beneficiaries (14)'!$B11,Logs!$A$2:$A$500,0)),"")</f>
        <v>30/06/2024</v>
      </c>
      <c r="L11" s="111">
        <f>IFERROR(INDEX(Logs!$G$2:$G$500,MATCH('Beneficiaries (14)'!$B11,Logs!$A$2:$A$500,0)),0)</f>
        <v>22</v>
      </c>
      <c r="M11" s="72">
        <v>0</v>
      </c>
      <c r="N11" s="101">
        <f>L11+M11</f>
        <v>22</v>
      </c>
      <c r="O11" s="102">
        <f>IFERROR(INDEX(Logs!$H$2:$H$500,MATCH('Beneficiaries (14)'!$B11,Logs!$A$2:$A$500,0)),)</f>
        <v>204.16</v>
      </c>
      <c r="P11" s="103">
        <f t="shared" ref="P11:P29" si="2">IFERROR(N11*O11,0)</f>
        <v>4491.5199999999995</v>
      </c>
      <c r="Q11" s="95"/>
      <c r="R11" s="114">
        <f>IF('Beneficiaries (11)'!$P$30&gt;0,1,"")</f>
        <v>1</v>
      </c>
    </row>
    <row r="12" spans="1:18" x14ac:dyDescent="0.2">
      <c r="A12" s="100" t="str">
        <f t="shared" si="1"/>
        <v/>
      </c>
      <c r="B12" s="72">
        <v>263</v>
      </c>
      <c r="C12" s="107" t="str">
        <f>IFERROR(INDEX(Logs!$B$2:$B$500,MATCH('Beneficiaries (14)'!$B12,Logs!$A$2:$A$500,0)),"")</f>
        <v>Xolisa</v>
      </c>
      <c r="D12" s="107" t="str">
        <f>IFERROR(INDEX(Logs!$C$2:$C$500,MATCH('Beneficiaries (14)'!$B12,Logs!$A$2:$A$500,0)),"")</f>
        <v>Mninzi</v>
      </c>
      <c r="E12" s="108" t="str">
        <f>IFERROR(INDEX(Logs!$D$2:$D$500,MATCH('Beneficiaries (14)'!$B12,Logs!$A$2:$A$500,0)),"")</f>
        <v>9011275727087</v>
      </c>
      <c r="F12" s="73" t="s">
        <v>761</v>
      </c>
      <c r="G12" s="101" t="str">
        <f t="shared" si="0"/>
        <v>M</v>
      </c>
      <c r="H12" s="72" t="s">
        <v>761</v>
      </c>
      <c r="I12" s="72" t="s">
        <v>762</v>
      </c>
      <c r="J12" s="111" t="str">
        <f>IFERROR(INDEX(Logs!$E$2:$E$500,MATCH('Beneficiaries (14)'!$B12,Logs!$A$2:$A$500,0)),"")</f>
        <v>01/09/2023</v>
      </c>
      <c r="K12" s="111" t="str">
        <f>IFERROR(INDEX(Logs!$F$2:$F$500,MATCH('Beneficiaries (14)'!$B12,Logs!$A$2:$A$500,0)),"")</f>
        <v>30/06/2024</v>
      </c>
      <c r="L12" s="111">
        <f>IFERROR(INDEX(Logs!$G$2:$G$500,MATCH('Beneficiaries (14)'!$B12,Logs!$A$2:$A$500,0)),0)</f>
        <v>10</v>
      </c>
      <c r="M12" s="72">
        <v>0</v>
      </c>
      <c r="N12" s="101">
        <f t="shared" ref="N12:N29" si="3">L12+M12</f>
        <v>10</v>
      </c>
      <c r="O12" s="102">
        <f>IFERROR(INDEX(Logs!$H$2:$H$500,MATCH('Beneficiaries (14)'!$B12,Logs!$A$2:$A$500,0)),)</f>
        <v>218.08</v>
      </c>
      <c r="P12" s="103">
        <f t="shared" si="2"/>
        <v>2180.8000000000002</v>
      </c>
      <c r="Q12" s="95"/>
      <c r="R12" s="114">
        <f>IF('Beneficiaries (12)'!$P$30&gt;0,1,"")</f>
        <v>1</v>
      </c>
    </row>
    <row r="13" spans="1:18" x14ac:dyDescent="0.2">
      <c r="A13" s="100" t="str">
        <f t="shared" si="1"/>
        <v/>
      </c>
      <c r="B13" s="72">
        <v>264</v>
      </c>
      <c r="C13" s="107" t="str">
        <f>IFERROR(INDEX(Logs!$B$2:$B$500,MATCH('Beneficiaries (14)'!$B13,Logs!$A$2:$A$500,0)),"")</f>
        <v>Nolitha</v>
      </c>
      <c r="D13" s="107" t="str">
        <f>IFERROR(INDEX(Logs!$C$2:$C$500,MATCH('Beneficiaries (14)'!$B13,Logs!$A$2:$A$500,0)),"")</f>
        <v>Mphanda</v>
      </c>
      <c r="E13" s="108" t="str">
        <f>IFERROR(INDEX(Logs!$D$2:$D$500,MATCH('Beneficiaries (14)'!$B13,Logs!$A$2:$A$500,0)),"")</f>
        <v>7605140436089</v>
      </c>
      <c r="F13" s="73" t="s">
        <v>761</v>
      </c>
      <c r="G13" s="101" t="str">
        <f t="shared" si="0"/>
        <v>F</v>
      </c>
      <c r="H13" s="72" t="s">
        <v>761</v>
      </c>
      <c r="I13" s="72" t="s">
        <v>762</v>
      </c>
      <c r="J13" s="111" t="str">
        <f>IFERROR(INDEX(Logs!$E$2:$E$500,MATCH('Beneficiaries (14)'!$B13,Logs!$A$2:$A$500,0)),"")</f>
        <v>01/09/2023</v>
      </c>
      <c r="K13" s="111" t="str">
        <f>IFERROR(INDEX(Logs!$F$2:$F$500,MATCH('Beneficiaries (14)'!$B13,Logs!$A$2:$A$500,0)),"")</f>
        <v>30/06/2024</v>
      </c>
      <c r="L13" s="111">
        <f>IFERROR(INDEX(Logs!$G$2:$G$500,MATCH('Beneficiaries (14)'!$B13,Logs!$A$2:$A$500,0)),0)</f>
        <v>10</v>
      </c>
      <c r="M13" s="72">
        <v>0</v>
      </c>
      <c r="N13" s="101">
        <f t="shared" si="3"/>
        <v>10</v>
      </c>
      <c r="O13" s="102">
        <f>IFERROR(INDEX(Logs!$H$2:$H$500,MATCH('Beneficiaries (14)'!$B13,Logs!$A$2:$A$500,0)),)</f>
        <v>204.16</v>
      </c>
      <c r="P13" s="103">
        <f t="shared" si="2"/>
        <v>2041.6</v>
      </c>
      <c r="Q13" s="95"/>
      <c r="R13" s="114">
        <f>IF('Beneficiaries (13)'!$P$30&gt;0,1,"")</f>
        <v>1</v>
      </c>
    </row>
    <row r="14" spans="1:18" x14ac:dyDescent="0.2">
      <c r="A14" s="100" t="str">
        <f t="shared" si="1"/>
        <v/>
      </c>
      <c r="B14" s="72">
        <v>265</v>
      </c>
      <c r="C14" s="107" t="str">
        <f>IFERROR(INDEX(Logs!$B$2:$B$500,MATCH('Beneficiaries (14)'!$B14,Logs!$A$2:$A$500,0)),"")</f>
        <v>Pinki</v>
      </c>
      <c r="D14" s="107" t="str">
        <f>IFERROR(INDEX(Logs!$C$2:$C$500,MATCH('Beneficiaries (14)'!$B14,Logs!$A$2:$A$500,0)),"")</f>
        <v>Mpayipheli</v>
      </c>
      <c r="E14" s="108" t="str">
        <f>IFERROR(INDEX(Logs!$D$2:$D$500,MATCH('Beneficiaries (14)'!$B14,Logs!$A$2:$A$500,0)),"")</f>
        <v>8712261346086</v>
      </c>
      <c r="F14" s="73" t="s">
        <v>761</v>
      </c>
      <c r="G14" s="101" t="str">
        <f t="shared" si="0"/>
        <v>F</v>
      </c>
      <c r="H14" s="72" t="s">
        <v>761</v>
      </c>
      <c r="I14" s="72" t="s">
        <v>762</v>
      </c>
      <c r="J14" s="111" t="str">
        <f>IFERROR(INDEX(Logs!$E$2:$E$500,MATCH('Beneficiaries (14)'!$B14,Logs!$A$2:$A$500,0)),"")</f>
        <v>01/09/2023</v>
      </c>
      <c r="K14" s="111" t="str">
        <f>IFERROR(INDEX(Logs!$F$2:$F$500,MATCH('Beneficiaries (14)'!$B14,Logs!$A$2:$A$500,0)),"")</f>
        <v>30/06/2024</v>
      </c>
      <c r="L14" s="111">
        <f>IFERROR(INDEX(Logs!$G$2:$G$500,MATCH('Beneficiaries (14)'!$B14,Logs!$A$2:$A$500,0)),0)</f>
        <v>10</v>
      </c>
      <c r="M14" s="72">
        <v>0</v>
      </c>
      <c r="N14" s="101">
        <f t="shared" si="3"/>
        <v>10</v>
      </c>
      <c r="O14" s="102">
        <f>IFERROR(INDEX(Logs!$H$2:$H$500,MATCH('Beneficiaries (14)'!$B14,Logs!$A$2:$A$500,0)),)</f>
        <v>204.16</v>
      </c>
      <c r="P14" s="103">
        <f t="shared" si="2"/>
        <v>2041.6</v>
      </c>
      <c r="Q14" s="95"/>
      <c r="R14" s="114">
        <f>IF('Beneficiaries (14)'!$P$30&gt;0,1,"")</f>
        <v>1</v>
      </c>
    </row>
    <row r="15" spans="1:18" x14ac:dyDescent="0.2">
      <c r="A15" s="100" t="str">
        <f t="shared" si="1"/>
        <v/>
      </c>
      <c r="B15" s="72">
        <v>266</v>
      </c>
      <c r="C15" s="107" t="str">
        <f>IFERROR(INDEX(Logs!$B$2:$B$500,MATCH('Beneficiaries (14)'!$B15,Logs!$A$2:$A$500,0)),"")</f>
        <v>Nosiphiwo</v>
      </c>
      <c r="D15" s="107" t="str">
        <f>IFERROR(INDEX(Logs!$C$2:$C$500,MATCH('Beneficiaries (14)'!$B15,Logs!$A$2:$A$500,0)),"")</f>
        <v>Yola</v>
      </c>
      <c r="E15" s="108" t="str">
        <f>IFERROR(INDEX(Logs!$D$2:$D$500,MATCH('Beneficiaries (14)'!$B15,Logs!$A$2:$A$500,0)),"")</f>
        <v>8806041026081</v>
      </c>
      <c r="F15" s="73" t="s">
        <v>761</v>
      </c>
      <c r="G15" s="101" t="str">
        <f t="shared" si="0"/>
        <v>F</v>
      </c>
      <c r="H15" s="72" t="s">
        <v>761</v>
      </c>
      <c r="I15" s="72" t="s">
        <v>762</v>
      </c>
      <c r="J15" s="111" t="str">
        <f>IFERROR(INDEX(Logs!$E$2:$E$500,MATCH('Beneficiaries (14)'!$B15,Logs!$A$2:$A$500,0)),"")</f>
        <v>01/09/2023</v>
      </c>
      <c r="K15" s="111" t="str">
        <f>IFERROR(INDEX(Logs!$F$2:$F$500,MATCH('Beneficiaries (14)'!$B15,Logs!$A$2:$A$500,0)),"")</f>
        <v>30/06/2024</v>
      </c>
      <c r="L15" s="111">
        <f>IFERROR(INDEX(Logs!$G$2:$G$500,MATCH('Beneficiaries (14)'!$B15,Logs!$A$2:$A$500,0)),0)</f>
        <v>10</v>
      </c>
      <c r="M15" s="72">
        <v>0</v>
      </c>
      <c r="N15" s="101">
        <f t="shared" si="3"/>
        <v>10</v>
      </c>
      <c r="O15" s="102">
        <f>IFERROR(INDEX(Logs!$H$2:$H$500,MATCH('Beneficiaries (14)'!$B15,Logs!$A$2:$A$500,0)),)</f>
        <v>204.16</v>
      </c>
      <c r="P15" s="103">
        <f t="shared" si="2"/>
        <v>2041.6</v>
      </c>
      <c r="Q15" s="95"/>
      <c r="R15" s="115"/>
    </row>
    <row r="16" spans="1:18" x14ac:dyDescent="0.2">
      <c r="A16" s="100" t="str">
        <f t="shared" si="1"/>
        <v/>
      </c>
      <c r="B16" s="72">
        <v>267</v>
      </c>
      <c r="C16" s="107" t="str">
        <f>IFERROR(INDEX(Logs!$B$2:$B$500,MATCH('Beneficiaries (14)'!$B16,Logs!$A$2:$A$500,0)),"")</f>
        <v>Nokulunga</v>
      </c>
      <c r="D16" s="107" t="str">
        <f>IFERROR(INDEX(Logs!$C$2:$C$500,MATCH('Beneficiaries (14)'!$B16,Logs!$A$2:$A$500,0)),"")</f>
        <v>Tswina</v>
      </c>
      <c r="E16" s="108" t="str">
        <f>IFERROR(INDEX(Logs!$D$2:$D$500,MATCH('Beneficiaries (14)'!$B16,Logs!$A$2:$A$500,0)),"")</f>
        <v>8308210399084</v>
      </c>
      <c r="F16" s="73" t="s">
        <v>761</v>
      </c>
      <c r="G16" s="101" t="str">
        <f t="shared" si="0"/>
        <v>F</v>
      </c>
      <c r="H16" s="72" t="s">
        <v>761</v>
      </c>
      <c r="I16" s="72" t="s">
        <v>762</v>
      </c>
      <c r="J16" s="111" t="str">
        <f>IFERROR(INDEX(Logs!$E$2:$E$500,MATCH('Beneficiaries (14)'!$B16,Logs!$A$2:$A$500,0)),"")</f>
        <v>01/09/2023</v>
      </c>
      <c r="K16" s="111" t="str">
        <f>IFERROR(INDEX(Logs!$F$2:$F$500,MATCH('Beneficiaries (14)'!$B16,Logs!$A$2:$A$500,0)),"")</f>
        <v>30/06/2024</v>
      </c>
      <c r="L16" s="111">
        <f>IFERROR(INDEX(Logs!$G$2:$G$500,MATCH('Beneficiaries (14)'!$B16,Logs!$A$2:$A$500,0)),0)</f>
        <v>10</v>
      </c>
      <c r="M16" s="72">
        <v>0</v>
      </c>
      <c r="N16" s="101">
        <f t="shared" si="3"/>
        <v>10</v>
      </c>
      <c r="O16" s="102">
        <f>IFERROR(INDEX(Logs!$H$2:$H$500,MATCH('Beneficiaries (14)'!$B16,Logs!$A$2:$A$500,0)),)</f>
        <v>204.16</v>
      </c>
      <c r="P16" s="103">
        <f t="shared" si="2"/>
        <v>2041.6</v>
      </c>
      <c r="Q16" s="95"/>
      <c r="R16" s="115"/>
    </row>
    <row r="17" spans="1:18" x14ac:dyDescent="0.2">
      <c r="A17" s="100" t="str">
        <f t="shared" si="1"/>
        <v/>
      </c>
      <c r="B17" s="72">
        <v>268</v>
      </c>
      <c r="C17" s="107" t="str">
        <f>IFERROR(INDEX(Logs!$B$2:$B$500,MATCH('Beneficiaries (14)'!$B17,Logs!$A$2:$A$500,0)),"")</f>
        <v>Philani</v>
      </c>
      <c r="D17" s="107" t="str">
        <f>IFERROR(INDEX(Logs!$C$2:$C$500,MATCH('Beneficiaries (14)'!$B17,Logs!$A$2:$A$500,0)),"")</f>
        <v>Magude</v>
      </c>
      <c r="E17" s="108" t="str">
        <f>IFERROR(INDEX(Logs!$D$2:$D$500,MATCH('Beneficiaries (14)'!$B17,Logs!$A$2:$A$500,0)),"")</f>
        <v>9804015702083</v>
      </c>
      <c r="F17" s="73" t="s">
        <v>761</v>
      </c>
      <c r="G17" s="101" t="str">
        <f t="shared" si="0"/>
        <v>M</v>
      </c>
      <c r="H17" s="72" t="s">
        <v>761</v>
      </c>
      <c r="I17" s="72" t="s">
        <v>762</v>
      </c>
      <c r="J17" s="111" t="str">
        <f>IFERROR(INDEX(Logs!$E$2:$E$500,MATCH('Beneficiaries (14)'!$B17,Logs!$A$2:$A$500,0)),"")</f>
        <v>01/09/2023</v>
      </c>
      <c r="K17" s="111" t="str">
        <f>IFERROR(INDEX(Logs!$F$2:$F$500,MATCH('Beneficiaries (14)'!$B17,Logs!$A$2:$A$500,0)),"")</f>
        <v>30/06/2024</v>
      </c>
      <c r="L17" s="111">
        <f>IFERROR(INDEX(Logs!$G$2:$G$500,MATCH('Beneficiaries (14)'!$B17,Logs!$A$2:$A$500,0)),0)</f>
        <v>10</v>
      </c>
      <c r="M17" s="72">
        <v>0</v>
      </c>
      <c r="N17" s="101">
        <f t="shared" si="3"/>
        <v>10</v>
      </c>
      <c r="O17" s="102">
        <f>IFERROR(INDEX(Logs!$H$2:$H$500,MATCH('Beneficiaries (14)'!$B17,Logs!$A$2:$A$500,0)),)</f>
        <v>204.16</v>
      </c>
      <c r="P17" s="103">
        <f t="shared" si="2"/>
        <v>2041.6</v>
      </c>
      <c r="Q17" s="95"/>
      <c r="R17" s="115"/>
    </row>
    <row r="18" spans="1:18" x14ac:dyDescent="0.2">
      <c r="A18" s="100" t="str">
        <f t="shared" si="1"/>
        <v/>
      </c>
      <c r="B18" s="72">
        <v>269</v>
      </c>
      <c r="C18" s="107" t="str">
        <f>IFERROR(INDEX(Logs!$B$2:$B$500,MATCH('Beneficiaries (14)'!$B18,Logs!$A$2:$A$500,0)),"")</f>
        <v>Apiwe</v>
      </c>
      <c r="D18" s="107" t="str">
        <f>IFERROR(INDEX(Logs!$C$2:$C$500,MATCH('Beneficiaries (14)'!$B18,Logs!$A$2:$A$500,0)),"")</f>
        <v>Ntlombe</v>
      </c>
      <c r="E18" s="108" t="str">
        <f>IFERROR(INDEX(Logs!$D$2:$D$500,MATCH('Beneficiaries (14)'!$B18,Logs!$A$2:$A$500,0)),"")</f>
        <v>8801050499089</v>
      </c>
      <c r="F18" s="73" t="s">
        <v>761</v>
      </c>
      <c r="G18" s="101" t="str">
        <f t="shared" si="0"/>
        <v>F</v>
      </c>
      <c r="H18" s="72" t="s">
        <v>761</v>
      </c>
      <c r="I18" s="72" t="s">
        <v>762</v>
      </c>
      <c r="J18" s="111" t="str">
        <f>IFERROR(INDEX(Logs!$E$2:$E$500,MATCH('Beneficiaries (14)'!$B18,Logs!$A$2:$A$500,0)),"")</f>
        <v>01/09/2023</v>
      </c>
      <c r="K18" s="111" t="str">
        <f>IFERROR(INDEX(Logs!$F$2:$F$500,MATCH('Beneficiaries (14)'!$B18,Logs!$A$2:$A$500,0)),"")</f>
        <v>30/06/2024</v>
      </c>
      <c r="L18" s="111">
        <f>IFERROR(INDEX(Logs!$G$2:$G$500,MATCH('Beneficiaries (14)'!$B18,Logs!$A$2:$A$500,0)),0)</f>
        <v>10</v>
      </c>
      <c r="M18" s="72">
        <v>0</v>
      </c>
      <c r="N18" s="101">
        <f t="shared" si="3"/>
        <v>10</v>
      </c>
      <c r="O18" s="102">
        <f>IFERROR(INDEX(Logs!$H$2:$H$500,MATCH('Beneficiaries (14)'!$B18,Logs!$A$2:$A$500,0)),)</f>
        <v>204.16</v>
      </c>
      <c r="P18" s="103">
        <f t="shared" si="2"/>
        <v>2041.6</v>
      </c>
      <c r="Q18" s="95"/>
      <c r="R18" s="115"/>
    </row>
    <row r="19" spans="1:18" x14ac:dyDescent="0.2">
      <c r="A19" s="100" t="str">
        <f t="shared" si="1"/>
        <v/>
      </c>
      <c r="B19" s="72">
        <v>270</v>
      </c>
      <c r="C19" s="107" t="str">
        <f>IFERROR(INDEX(Logs!$B$2:$B$500,MATCH('Beneficiaries (14)'!$B19,Logs!$A$2:$A$500,0)),"")</f>
        <v>Hlengiwe</v>
      </c>
      <c r="D19" s="107" t="str">
        <f>IFERROR(INDEX(Logs!$C$2:$C$500,MATCH('Beneficiaries (14)'!$B19,Logs!$A$2:$A$500,0)),"")</f>
        <v>Nene</v>
      </c>
      <c r="E19" s="108" t="str">
        <f>IFERROR(INDEX(Logs!$D$2:$D$500,MATCH('Beneficiaries (14)'!$B19,Logs!$A$2:$A$500,0)),"")</f>
        <v>8105041090084</v>
      </c>
      <c r="F19" s="73" t="s">
        <v>761</v>
      </c>
      <c r="G19" s="101" t="str">
        <f t="shared" si="0"/>
        <v>F</v>
      </c>
      <c r="H19" s="72" t="s">
        <v>761</v>
      </c>
      <c r="I19" s="72" t="s">
        <v>762</v>
      </c>
      <c r="J19" s="111" t="str">
        <f>IFERROR(INDEX(Logs!$E$2:$E$500,MATCH('Beneficiaries (14)'!$B19,Logs!$A$2:$A$500,0)),"")</f>
        <v>01/09/2023</v>
      </c>
      <c r="K19" s="111" t="str">
        <f>IFERROR(INDEX(Logs!$F$2:$F$500,MATCH('Beneficiaries (14)'!$B19,Logs!$A$2:$A$500,0)),"")</f>
        <v>30/06/2024</v>
      </c>
      <c r="L19" s="111">
        <f>IFERROR(INDEX(Logs!$G$2:$G$500,MATCH('Beneficiaries (14)'!$B19,Logs!$A$2:$A$500,0)),0)</f>
        <v>10</v>
      </c>
      <c r="M19" s="72">
        <v>0</v>
      </c>
      <c r="N19" s="101">
        <f t="shared" si="3"/>
        <v>10</v>
      </c>
      <c r="O19" s="102">
        <f>IFERROR(INDEX(Logs!$H$2:$H$500,MATCH('Beneficiaries (14)'!$B19,Logs!$A$2:$A$500,0)),)</f>
        <v>204.16</v>
      </c>
      <c r="P19" s="103">
        <f t="shared" si="2"/>
        <v>2041.6</v>
      </c>
      <c r="Q19" s="95"/>
      <c r="R19" s="115"/>
    </row>
    <row r="20" spans="1:18" x14ac:dyDescent="0.2">
      <c r="A20" s="100" t="str">
        <f t="shared" si="1"/>
        <v/>
      </c>
      <c r="B20" s="72">
        <v>271</v>
      </c>
      <c r="C20" s="107" t="str">
        <f>IFERROR(INDEX(Logs!$B$2:$B$500,MATCH('Beneficiaries (14)'!$B20,Logs!$A$2:$A$500,0)),"")</f>
        <v>Vuyani</v>
      </c>
      <c r="D20" s="107" t="str">
        <f>IFERROR(INDEX(Logs!$C$2:$C$500,MATCH('Beneficiaries (14)'!$B20,Logs!$A$2:$A$500,0)),"")</f>
        <v>Kalawe</v>
      </c>
      <c r="E20" s="108" t="str">
        <f>IFERROR(INDEX(Logs!$D$2:$D$500,MATCH('Beneficiaries (14)'!$B20,Logs!$A$2:$A$500,0)),"")</f>
        <v>8609065539082</v>
      </c>
      <c r="F20" s="73" t="s">
        <v>761</v>
      </c>
      <c r="G20" s="101" t="str">
        <f t="shared" si="0"/>
        <v>M</v>
      </c>
      <c r="H20" s="72" t="s">
        <v>761</v>
      </c>
      <c r="I20" s="72" t="s">
        <v>762</v>
      </c>
      <c r="J20" s="111" t="str">
        <f>IFERROR(INDEX(Logs!$E$2:$E$500,MATCH('Beneficiaries (14)'!$B20,Logs!$A$2:$A$500,0)),"")</f>
        <v>01/09/2023</v>
      </c>
      <c r="K20" s="111" t="str">
        <f>IFERROR(INDEX(Logs!$F$2:$F$500,MATCH('Beneficiaries (14)'!$B20,Logs!$A$2:$A$500,0)),"")</f>
        <v>30/06/2024</v>
      </c>
      <c r="L20" s="111">
        <f>IFERROR(INDEX(Logs!$G$2:$G$500,MATCH('Beneficiaries (14)'!$B20,Logs!$A$2:$A$500,0)),0)</f>
        <v>10</v>
      </c>
      <c r="M20" s="72">
        <v>0</v>
      </c>
      <c r="N20" s="101">
        <f t="shared" si="3"/>
        <v>10</v>
      </c>
      <c r="O20" s="102">
        <f>IFERROR(INDEX(Logs!$H$2:$H$500,MATCH('Beneficiaries (14)'!$B20,Logs!$A$2:$A$500,0)),)</f>
        <v>204.16</v>
      </c>
      <c r="P20" s="103">
        <f t="shared" si="2"/>
        <v>2041.6</v>
      </c>
      <c r="Q20" s="95"/>
      <c r="R20" s="115"/>
    </row>
    <row r="21" spans="1:18" x14ac:dyDescent="0.2">
      <c r="A21" s="100" t="str">
        <f t="shared" si="1"/>
        <v/>
      </c>
      <c r="B21" s="72">
        <v>272</v>
      </c>
      <c r="C21" s="107" t="str">
        <f>IFERROR(INDEX(Logs!$B$2:$B$500,MATCH('Beneficiaries (14)'!$B21,Logs!$A$2:$A$500,0)),"")</f>
        <v>Isiphile</v>
      </c>
      <c r="D21" s="107" t="str">
        <f>IFERROR(INDEX(Logs!$C$2:$C$500,MATCH('Beneficiaries (14)'!$B21,Logs!$A$2:$A$500,0)),"")</f>
        <v>Sifumba</v>
      </c>
      <c r="E21" s="108" t="str">
        <f>IFERROR(INDEX(Logs!$D$2:$D$500,MATCH('Beneficiaries (14)'!$B21,Logs!$A$2:$A$500,0)),"")</f>
        <v>0301241070087</v>
      </c>
      <c r="F21" s="73" t="s">
        <v>761</v>
      </c>
      <c r="G21" s="101" t="str">
        <f t="shared" si="0"/>
        <v>F</v>
      </c>
      <c r="H21" s="72" t="s">
        <v>761</v>
      </c>
      <c r="I21" s="72" t="s">
        <v>762</v>
      </c>
      <c r="J21" s="111" t="str">
        <f>IFERROR(INDEX(Logs!$E$2:$E$500,MATCH('Beneficiaries (14)'!$B21,Logs!$A$2:$A$500,0)),"")</f>
        <v>01/09/2023</v>
      </c>
      <c r="K21" s="111" t="str">
        <f>IFERROR(INDEX(Logs!$F$2:$F$500,MATCH('Beneficiaries (14)'!$B21,Logs!$A$2:$A$500,0)),"")</f>
        <v>30/06/2024</v>
      </c>
      <c r="L21" s="111">
        <f>IFERROR(INDEX(Logs!$G$2:$G$500,MATCH('Beneficiaries (14)'!$B21,Logs!$A$2:$A$500,0)),0)</f>
        <v>10</v>
      </c>
      <c r="M21" s="72">
        <v>0</v>
      </c>
      <c r="N21" s="101">
        <f t="shared" si="3"/>
        <v>10</v>
      </c>
      <c r="O21" s="102">
        <f>IFERROR(INDEX(Logs!$H$2:$H$500,MATCH('Beneficiaries (14)'!$B21,Logs!$A$2:$A$500,0)),)</f>
        <v>204.16</v>
      </c>
      <c r="P21" s="103">
        <f t="shared" si="2"/>
        <v>2041.6</v>
      </c>
      <c r="Q21" s="95"/>
      <c r="R21" s="115"/>
    </row>
    <row r="22" spans="1:18" x14ac:dyDescent="0.2">
      <c r="A22" s="100" t="str">
        <f t="shared" si="1"/>
        <v/>
      </c>
      <c r="B22" s="72">
        <v>273</v>
      </c>
      <c r="C22" s="109" t="str">
        <f>IFERROR(INDEX(Logs!$B$2:$B$500,MATCH('Beneficiaries (14)'!$B22,Logs!$A$2:$A$500,0)),"")</f>
        <v>Yanga</v>
      </c>
      <c r="D22" s="107" t="str">
        <f>IFERROR(INDEX(Logs!$C$2:$C$500,MATCH('Beneficiaries (14)'!$B22,Logs!$A$2:$A$500,0)),"")</f>
        <v>Nomxinyana</v>
      </c>
      <c r="E22" s="108" t="str">
        <f>IFERROR(INDEX(Logs!$D$2:$D$500,MATCH('Beneficiaries (14)'!$B22,Logs!$A$2:$A$500,0)),"")</f>
        <v>9207140995087</v>
      </c>
      <c r="F22" s="73" t="s">
        <v>761</v>
      </c>
      <c r="G22" s="101" t="str">
        <f t="shared" si="0"/>
        <v>F</v>
      </c>
      <c r="H22" s="72" t="s">
        <v>761</v>
      </c>
      <c r="I22" s="72" t="s">
        <v>762</v>
      </c>
      <c r="J22" s="111" t="str">
        <f>IFERROR(INDEX(Logs!$E$2:$E$500,MATCH('Beneficiaries (14)'!$B22,Logs!$A$2:$A$500,0)),"")</f>
        <v>01/09/2023</v>
      </c>
      <c r="K22" s="111" t="str">
        <f>IFERROR(INDEX(Logs!$F$2:$F$500,MATCH('Beneficiaries (14)'!$B22,Logs!$A$2:$A$500,0)),"")</f>
        <v>30/06/2024</v>
      </c>
      <c r="L22" s="111">
        <f>IFERROR(INDEX(Logs!$G$2:$G$500,MATCH('Beneficiaries (14)'!$B22,Logs!$A$2:$A$500,0)),0)</f>
        <v>10</v>
      </c>
      <c r="M22" s="72">
        <v>0</v>
      </c>
      <c r="N22" s="101">
        <f t="shared" si="3"/>
        <v>10</v>
      </c>
      <c r="O22" s="102">
        <f>IFERROR(INDEX(Logs!$H$2:$H$500,MATCH('Beneficiaries (14)'!$B22,Logs!$A$2:$A$500,0)),)</f>
        <v>204.16</v>
      </c>
      <c r="P22" s="103">
        <f t="shared" si="2"/>
        <v>2041.6</v>
      </c>
      <c r="Q22" s="95"/>
      <c r="R22" s="115"/>
    </row>
    <row r="23" spans="1:18" x14ac:dyDescent="0.2">
      <c r="A23" s="100" t="str">
        <f t="shared" si="1"/>
        <v/>
      </c>
      <c r="B23" s="72">
        <v>274</v>
      </c>
      <c r="C23" s="109" t="str">
        <f>IFERROR(INDEX(Logs!$B$2:$B$500,MATCH('Beneficiaries (14)'!$B23,Logs!$A$2:$A$500,0)),"")</f>
        <v/>
      </c>
      <c r="D23" s="107" t="str">
        <f>IFERROR(INDEX(Logs!$C$2:$C$500,MATCH('Beneficiaries (14)'!$B23,Logs!$A$2:$A$500,0)),"")</f>
        <v/>
      </c>
      <c r="E23" s="108" t="str">
        <f>IFERROR(INDEX(Logs!$D$2:$D$500,MATCH('Beneficiaries (14)'!$B23,Logs!$A$2:$A$500,0)),"")</f>
        <v/>
      </c>
      <c r="F23" s="73" t="s">
        <v>761</v>
      </c>
      <c r="G23" s="101" t="str">
        <f t="shared" si="0"/>
        <v/>
      </c>
      <c r="H23" s="72" t="s">
        <v>761</v>
      </c>
      <c r="I23" s="72" t="s">
        <v>762</v>
      </c>
      <c r="J23" s="111" t="str">
        <f>IFERROR(INDEX(Logs!$E$2:$E$500,MATCH('Beneficiaries (14)'!$B23,Logs!$A$2:$A$500,0)),"")</f>
        <v/>
      </c>
      <c r="K23" s="111" t="str">
        <f>IFERROR(INDEX(Logs!$F$2:$F$500,MATCH('Beneficiaries (14)'!$B23,Logs!$A$2:$A$500,0)),"")</f>
        <v/>
      </c>
      <c r="L23" s="111">
        <f>IFERROR(INDEX(Logs!$G$2:$G$500,MATCH('Beneficiaries (14)'!$B23,Logs!$A$2:$A$500,0)),0)</f>
        <v>0</v>
      </c>
      <c r="M23" s="72">
        <v>0</v>
      </c>
      <c r="N23" s="101">
        <f t="shared" si="3"/>
        <v>0</v>
      </c>
      <c r="O23" s="102">
        <f>IFERROR(INDEX(Logs!$H$2:$H$500,MATCH('Beneficiaries (14)'!$B23,Logs!$A$2:$A$500,0)),)</f>
        <v>0</v>
      </c>
      <c r="P23" s="103">
        <f t="shared" si="2"/>
        <v>0</v>
      </c>
      <c r="Q23" s="95"/>
      <c r="R23" s="115"/>
    </row>
    <row r="24" spans="1:18" x14ac:dyDescent="0.2">
      <c r="A24" s="100" t="str">
        <f t="shared" si="1"/>
        <v/>
      </c>
      <c r="B24" s="72">
        <v>275</v>
      </c>
      <c r="C24" s="109" t="str">
        <f>IFERROR(INDEX(Logs!$B$2:$B$500,MATCH('Beneficiaries (14)'!$B24,Logs!$A$2:$A$500,0)),"")</f>
        <v/>
      </c>
      <c r="D24" s="107" t="str">
        <f>IFERROR(INDEX(Logs!$C$2:$C$500,MATCH('Beneficiaries (14)'!$B24,Logs!$A$2:$A$500,0)),"")</f>
        <v/>
      </c>
      <c r="E24" s="108" t="str">
        <f>IFERROR(INDEX(Logs!$D$2:$D$500,MATCH('Beneficiaries (14)'!$B24,Logs!$A$2:$A$500,0)),"")</f>
        <v/>
      </c>
      <c r="F24" s="73" t="s">
        <v>761</v>
      </c>
      <c r="G24" s="101" t="str">
        <f t="shared" si="0"/>
        <v/>
      </c>
      <c r="H24" s="72" t="s">
        <v>761</v>
      </c>
      <c r="I24" s="72" t="s">
        <v>762</v>
      </c>
      <c r="J24" s="111" t="str">
        <f>IFERROR(INDEX(Logs!$E$2:$E$500,MATCH('Beneficiaries (14)'!$B24,Logs!$A$2:$A$500,0)),"")</f>
        <v/>
      </c>
      <c r="K24" s="111" t="str">
        <f>IFERROR(INDEX(Logs!$F$2:$F$500,MATCH('Beneficiaries (14)'!$B24,Logs!$A$2:$A$500,0)),"")</f>
        <v/>
      </c>
      <c r="L24" s="111">
        <f>IFERROR(INDEX(Logs!$G$2:$G$500,MATCH('Beneficiaries (14)'!$B24,Logs!$A$2:$A$500,0)),0)</f>
        <v>0</v>
      </c>
      <c r="M24" s="72">
        <v>0</v>
      </c>
      <c r="N24" s="101">
        <f t="shared" si="3"/>
        <v>0</v>
      </c>
      <c r="O24" s="102">
        <f>IFERROR(INDEX(Logs!$H$2:$H$500,MATCH('Beneficiaries (14)'!$B24,Logs!$A$2:$A$500,0)),)</f>
        <v>0</v>
      </c>
      <c r="P24" s="103">
        <f t="shared" si="2"/>
        <v>0</v>
      </c>
      <c r="Q24" s="95"/>
    </row>
    <row r="25" spans="1:18" x14ac:dyDescent="0.2">
      <c r="A25" s="100" t="str">
        <f t="shared" si="1"/>
        <v/>
      </c>
      <c r="B25" s="72">
        <v>276</v>
      </c>
      <c r="C25" s="110" t="str">
        <f>IFERROR(INDEX(Logs!$B$2:$B$500,MATCH('Beneficiaries (14)'!$B25,Logs!$A$2:$A$500,0)),"")</f>
        <v/>
      </c>
      <c r="D25" s="107" t="str">
        <f>IFERROR(INDEX(Logs!$C$2:$C$500,MATCH('Beneficiaries (14)'!$B25,Logs!$A$2:$A$500,0)),"")</f>
        <v/>
      </c>
      <c r="E25" s="108" t="str">
        <f>IFERROR(INDEX(Logs!$D$2:$D$500,MATCH('Beneficiaries (14)'!$B25,Logs!$A$2:$A$500,0)),"")</f>
        <v/>
      </c>
      <c r="F25" s="73" t="s">
        <v>761</v>
      </c>
      <c r="G25" s="101" t="str">
        <f t="shared" si="0"/>
        <v/>
      </c>
      <c r="H25" s="72" t="s">
        <v>761</v>
      </c>
      <c r="I25" s="72" t="s">
        <v>762</v>
      </c>
      <c r="J25" s="111" t="str">
        <f>IFERROR(INDEX(Logs!$E$2:$E$500,MATCH('Beneficiaries (14)'!$B25,Logs!$A$2:$A$500,0)),"")</f>
        <v/>
      </c>
      <c r="K25" s="111" t="str">
        <f>IFERROR(INDEX(Logs!$F$2:$F$500,MATCH('Beneficiaries (14)'!$B25,Logs!$A$2:$A$500,0)),"")</f>
        <v/>
      </c>
      <c r="L25" s="111">
        <f>IFERROR(INDEX(Logs!$G$2:$G$500,MATCH('Beneficiaries (14)'!$B25,Logs!$A$2:$A$500,0)),0)</f>
        <v>0</v>
      </c>
      <c r="M25" s="72">
        <v>0</v>
      </c>
      <c r="N25" s="101">
        <f t="shared" si="3"/>
        <v>0</v>
      </c>
      <c r="O25" s="102">
        <f>IFERROR(INDEX(Logs!$H$2:$H$500,MATCH('Beneficiaries (14)'!$B25,Logs!$A$2:$A$500,0)),)</f>
        <v>0</v>
      </c>
      <c r="P25" s="103">
        <f t="shared" si="2"/>
        <v>0</v>
      </c>
      <c r="Q25" s="95"/>
    </row>
    <row r="26" spans="1:18" x14ac:dyDescent="0.2">
      <c r="A26" s="100" t="str">
        <f t="shared" si="1"/>
        <v/>
      </c>
      <c r="B26" s="72">
        <v>277</v>
      </c>
      <c r="C26" s="110" t="str">
        <f>IFERROR(INDEX(Logs!$B$2:$B$500,MATCH('Beneficiaries (14)'!$B26,Logs!$A$2:$A$500,0)),"")</f>
        <v/>
      </c>
      <c r="D26" s="107" t="str">
        <f>IFERROR(INDEX(Logs!$C$2:$C$500,MATCH('Beneficiaries (14)'!$B26,Logs!$A$2:$A$500,0)),"")</f>
        <v/>
      </c>
      <c r="E26" s="108" t="str">
        <f>IFERROR(INDEX(Logs!$D$2:$D$500,MATCH('Beneficiaries (14)'!$B26,Logs!$A$2:$A$500,0)),"")</f>
        <v/>
      </c>
      <c r="F26" s="73" t="s">
        <v>761</v>
      </c>
      <c r="G26" s="101" t="str">
        <f t="shared" si="0"/>
        <v/>
      </c>
      <c r="H26" s="72" t="s">
        <v>761</v>
      </c>
      <c r="I26" s="72" t="s">
        <v>762</v>
      </c>
      <c r="J26" s="111" t="str">
        <f>IFERROR(INDEX(Logs!$E$2:$E$500,MATCH('Beneficiaries (14)'!$B26,Logs!$A$2:$A$500,0)),"")</f>
        <v/>
      </c>
      <c r="K26" s="111" t="str">
        <f>IFERROR(INDEX(Logs!$F$2:$F$500,MATCH('Beneficiaries (14)'!$B26,Logs!$A$2:$A$500,0)),"")</f>
        <v/>
      </c>
      <c r="L26" s="111">
        <f>IFERROR(INDEX(Logs!$G$2:$G$500,MATCH('Beneficiaries (14)'!$B26,Logs!$A$2:$A$500,0)),0)</f>
        <v>0</v>
      </c>
      <c r="M26" s="72">
        <v>0</v>
      </c>
      <c r="N26" s="101">
        <f t="shared" si="3"/>
        <v>0</v>
      </c>
      <c r="O26" s="102">
        <f>IFERROR(INDEX(Logs!$H$2:$H$500,MATCH('Beneficiaries (14)'!$B26,Logs!$A$2:$A$500,0)),)</f>
        <v>0</v>
      </c>
      <c r="P26" s="103">
        <f t="shared" si="2"/>
        <v>0</v>
      </c>
      <c r="Q26" s="95"/>
    </row>
    <row r="27" spans="1:18" x14ac:dyDescent="0.2">
      <c r="A27" s="100" t="str">
        <f t="shared" si="1"/>
        <v/>
      </c>
      <c r="B27" s="72">
        <v>278</v>
      </c>
      <c r="C27" s="110" t="str">
        <f>IFERROR(INDEX(Logs!$B$2:$B$500,MATCH('Beneficiaries (14)'!$B27,Logs!$A$2:$A$500,0)),"")</f>
        <v/>
      </c>
      <c r="D27" s="107" t="str">
        <f>IFERROR(INDEX(Logs!$C$2:$C$500,MATCH('Beneficiaries (14)'!$B27,Logs!$A$2:$A$500,0)),"")</f>
        <v/>
      </c>
      <c r="E27" s="108" t="str">
        <f>IFERROR(INDEX(Logs!$D$2:$D$500,MATCH('Beneficiaries (14)'!$B27,Logs!$A$2:$A$500,0)),"")</f>
        <v/>
      </c>
      <c r="F27" s="73" t="s">
        <v>761</v>
      </c>
      <c r="G27" s="101" t="str">
        <f t="shared" si="0"/>
        <v/>
      </c>
      <c r="H27" s="72" t="s">
        <v>761</v>
      </c>
      <c r="I27" s="72" t="s">
        <v>762</v>
      </c>
      <c r="J27" s="111" t="str">
        <f>IFERROR(INDEX(Logs!$E$2:$E$500,MATCH('Beneficiaries (14)'!$B27,Logs!$A$2:$A$500,0)),"")</f>
        <v/>
      </c>
      <c r="K27" s="111" t="str">
        <f>IFERROR(INDEX(Logs!$F$2:$F$500,MATCH('Beneficiaries (14)'!$B27,Logs!$A$2:$A$500,0)),"")</f>
        <v/>
      </c>
      <c r="L27" s="111">
        <f>IFERROR(INDEX(Logs!$G$2:$G$500,MATCH('Beneficiaries (14)'!$B27,Logs!$A$2:$A$500,0)),0)</f>
        <v>0</v>
      </c>
      <c r="M27" s="72">
        <v>0</v>
      </c>
      <c r="N27" s="101">
        <f t="shared" si="3"/>
        <v>0</v>
      </c>
      <c r="O27" s="102">
        <f>IFERROR(INDEX(Logs!$H$2:$H$500,MATCH('Beneficiaries (14)'!$B27,Logs!$A$2:$A$500,0)),)</f>
        <v>0</v>
      </c>
      <c r="P27" s="103">
        <f t="shared" si="2"/>
        <v>0</v>
      </c>
      <c r="Q27" s="95"/>
    </row>
    <row r="28" spans="1:18" x14ac:dyDescent="0.2">
      <c r="A28" s="100" t="str">
        <f t="shared" si="1"/>
        <v/>
      </c>
      <c r="B28" s="72">
        <v>279</v>
      </c>
      <c r="C28" s="110" t="str">
        <f>IFERROR(INDEX(Logs!$B$2:$B$500,MATCH('Beneficiaries (14)'!$B28,Logs!$A$2:$A$500,0)),"")</f>
        <v/>
      </c>
      <c r="D28" s="107" t="str">
        <f>IFERROR(INDEX(Logs!$C$2:$C$500,MATCH('Beneficiaries (14)'!$B28,Logs!$A$2:$A$500,0)),"")</f>
        <v/>
      </c>
      <c r="E28" s="108" t="str">
        <f>IFERROR(INDEX(Logs!$D$2:$D$500,MATCH('Beneficiaries (14)'!$B28,Logs!$A$2:$A$500,0)),"")</f>
        <v/>
      </c>
      <c r="F28" s="73" t="s">
        <v>761</v>
      </c>
      <c r="G28" s="101" t="str">
        <f t="shared" si="0"/>
        <v/>
      </c>
      <c r="H28" s="72" t="s">
        <v>761</v>
      </c>
      <c r="I28" s="72" t="s">
        <v>762</v>
      </c>
      <c r="J28" s="111" t="str">
        <f>IFERROR(INDEX(Logs!$E$2:$E$500,MATCH('Beneficiaries (14)'!$B28,Logs!$A$2:$A$500,0)),"")</f>
        <v/>
      </c>
      <c r="K28" s="111" t="str">
        <f>IFERROR(INDEX(Logs!$F$2:$F$500,MATCH('Beneficiaries (14)'!$B28,Logs!$A$2:$A$500,0)),"")</f>
        <v/>
      </c>
      <c r="L28" s="111">
        <f>IFERROR(INDEX(Logs!$G$2:$G$500,MATCH('Beneficiaries (14)'!$B28,Logs!$A$2:$A$500,0)),0)</f>
        <v>0</v>
      </c>
      <c r="M28" s="72">
        <v>0</v>
      </c>
      <c r="N28" s="101">
        <f t="shared" si="3"/>
        <v>0</v>
      </c>
      <c r="O28" s="102">
        <f>IFERROR(INDEX(Logs!$H$2:$H$500,MATCH('Beneficiaries (14)'!$B28,Logs!$A$2:$A$500,0)),)</f>
        <v>0</v>
      </c>
      <c r="P28" s="103">
        <f t="shared" si="2"/>
        <v>0</v>
      </c>
      <c r="Q28" s="95"/>
    </row>
    <row r="29" spans="1:18" x14ac:dyDescent="0.2">
      <c r="A29" s="100" t="str">
        <f t="shared" si="1"/>
        <v/>
      </c>
      <c r="B29" s="72">
        <v>280</v>
      </c>
      <c r="C29" s="110" t="str">
        <f>IFERROR(INDEX(Logs!$B$2:$B$500,MATCH('Beneficiaries (14)'!$B29,Logs!$A$2:$A$500,0)),"")</f>
        <v/>
      </c>
      <c r="D29" s="110" t="str">
        <f>IFERROR(INDEX(Logs!$C$2:$C$500,MATCH('Beneficiaries (14)'!$B29,Logs!$A$2:$A$500,0)),"")</f>
        <v/>
      </c>
      <c r="E29" s="108" t="str">
        <f>IFERROR(INDEX(Logs!$D$2:$D$500,MATCH('Beneficiaries (14)'!$B29,Logs!$A$2:$A$500,0)),"")</f>
        <v/>
      </c>
      <c r="F29" s="73" t="s">
        <v>761</v>
      </c>
      <c r="G29" s="101" t="str">
        <f t="shared" si="0"/>
        <v/>
      </c>
      <c r="H29" s="72" t="s">
        <v>761</v>
      </c>
      <c r="I29" s="72" t="s">
        <v>762</v>
      </c>
      <c r="J29" s="111" t="str">
        <f>IFERROR(INDEX(Logs!$E$2:$E$500,MATCH('Beneficiaries (14)'!$B29,Logs!$A$2:$A$500,0)),"")</f>
        <v/>
      </c>
      <c r="K29" s="111" t="str">
        <f>IFERROR(INDEX(Logs!$F$2:$F$500,MATCH('Beneficiaries (14)'!$B29,Logs!$A$2:$A$500,0)),"")</f>
        <v/>
      </c>
      <c r="L29" s="111">
        <f>IFERROR(INDEX(Logs!$G$2:$G$500,MATCH('Beneficiaries (14)'!$B29,Logs!$A$2:$A$500,0)),0)</f>
        <v>0</v>
      </c>
      <c r="M29" s="72">
        <v>0</v>
      </c>
      <c r="N29" s="101">
        <f t="shared" si="3"/>
        <v>0</v>
      </c>
      <c r="O29" s="102">
        <f>IFERROR(INDEX(Logs!$H$2:$H$500,MATCH('Beneficiaries (14)'!$B29,Logs!$A$2:$A$500,0)),)</f>
        <v>0</v>
      </c>
      <c r="P29" s="103">
        <f t="shared" si="2"/>
        <v>0</v>
      </c>
      <c r="Q29" s="95"/>
    </row>
    <row r="30" spans="1:18" x14ac:dyDescent="0.2"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104">
        <f>SUM(L10:L29)</f>
        <v>154</v>
      </c>
      <c r="M30" s="104">
        <f>SUM(M10:M29)</f>
        <v>0</v>
      </c>
      <c r="N30" s="104">
        <f>SUM(N10:N29)</f>
        <v>154</v>
      </c>
      <c r="O30" s="105">
        <f>SUM(O10:O29)</f>
        <v>2668</v>
      </c>
      <c r="P30" s="106">
        <f>SUM(P10:P29)</f>
        <v>31579.839999999989</v>
      </c>
      <c r="Q30" s="97"/>
    </row>
    <row r="31" spans="1:18" ht="27" customHeight="1" x14ac:dyDescent="0.2">
      <c r="B31" s="217" t="s">
        <v>98</v>
      </c>
      <c r="C31" s="217"/>
      <c r="D31" s="98" t="s">
        <v>97</v>
      </c>
      <c r="E31" s="218" t="str">
        <f>Project!$G$30</f>
        <v>Benjamin Milandou-Loubeka</v>
      </c>
      <c r="F31" s="218"/>
      <c r="G31" s="218"/>
      <c r="H31" s="219" t="s">
        <v>101</v>
      </c>
      <c r="I31" s="220"/>
      <c r="J31" s="220"/>
      <c r="K31" s="220"/>
      <c r="L31" s="220"/>
      <c r="M31" s="220"/>
      <c r="N31" s="220"/>
      <c r="O31" s="220"/>
      <c r="P31" s="220"/>
      <c r="Q31" s="87"/>
    </row>
    <row r="32" spans="1:18" ht="27" customHeight="1" x14ac:dyDescent="0.2">
      <c r="B32" s="217"/>
      <c r="C32" s="217"/>
      <c r="D32" s="98" t="s">
        <v>100</v>
      </c>
      <c r="E32" s="221">
        <f>Project!$AN$1</f>
        <v>45199</v>
      </c>
      <c r="F32" s="221"/>
      <c r="G32" s="221"/>
      <c r="H32" s="219"/>
      <c r="I32" s="220"/>
      <c r="J32" s="220"/>
      <c r="K32" s="220"/>
      <c r="L32" s="220"/>
      <c r="M32" s="220"/>
      <c r="N32" s="220"/>
      <c r="O32" s="220"/>
      <c r="P32" s="220"/>
      <c r="Q32" s="87"/>
    </row>
    <row r="33" spans="2:17" ht="14.25" customHeight="1" x14ac:dyDescent="0.2">
      <c r="B33" s="88"/>
      <c r="C33" s="88"/>
      <c r="D33" s="99"/>
      <c r="E33" s="87"/>
      <c r="F33" s="87"/>
      <c r="G33" s="87"/>
      <c r="H33" s="81"/>
      <c r="I33" s="87"/>
      <c r="J33" s="87"/>
      <c r="K33" s="87"/>
      <c r="L33" s="87"/>
      <c r="M33" s="87"/>
      <c r="N33" s="87"/>
      <c r="O33" s="87"/>
      <c r="P33" s="87"/>
      <c r="Q33" s="87"/>
    </row>
    <row r="34" spans="2:17" ht="27" customHeight="1" x14ac:dyDescent="0.2">
      <c r="B34" s="217" t="s">
        <v>99</v>
      </c>
      <c r="C34" s="217"/>
      <c r="D34" s="98" t="s">
        <v>97</v>
      </c>
      <c r="E34" s="220"/>
      <c r="F34" s="220"/>
      <c r="G34" s="220"/>
      <c r="H34" s="219" t="s">
        <v>101</v>
      </c>
      <c r="I34" s="220"/>
      <c r="J34" s="220"/>
      <c r="K34" s="220"/>
      <c r="L34" s="220"/>
      <c r="M34" s="220"/>
      <c r="N34" s="220"/>
      <c r="O34" s="220"/>
      <c r="P34" s="220"/>
      <c r="Q34" s="87"/>
    </row>
    <row r="35" spans="2:17" ht="27" customHeight="1" x14ac:dyDescent="0.2">
      <c r="B35" s="217"/>
      <c r="C35" s="217"/>
      <c r="D35" s="98" t="s">
        <v>100</v>
      </c>
      <c r="E35" s="220"/>
      <c r="F35" s="220"/>
      <c r="G35" s="220"/>
      <c r="H35" s="219"/>
      <c r="I35" s="220"/>
      <c r="J35" s="220"/>
      <c r="K35" s="220"/>
      <c r="L35" s="220"/>
      <c r="M35" s="220"/>
      <c r="N35" s="220"/>
      <c r="O35" s="220"/>
      <c r="P35" s="220"/>
      <c r="Q35" s="87"/>
    </row>
    <row r="74" spans="2:2" x14ac:dyDescent="0.2">
      <c r="B74" s="87"/>
    </row>
  </sheetData>
  <sheetProtection algorithmName="SHA-512" hashValue="ll0jMVLsTWhZzj7kByXjA0W0NDvZMRgCgB/VD8N3Z4N3CKROX0ZqS+/T/rU7EOxY+ks6ezWJw6ZUI73Csz+VJw==" saltValue="PF+hoSykACctbOcicjx03A==" spinCount="100000" sheet="1" selectLockedCells="1"/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conditionalFormatting sqref="C10:C21">
    <cfRule type="uniqueValues" dxfId="17" priority="9"/>
  </conditionalFormatting>
  <conditionalFormatting sqref="D10:D20">
    <cfRule type="uniqueValues" dxfId="16" priority="8"/>
  </conditionalFormatting>
  <conditionalFormatting sqref="D21:D28">
    <cfRule type="uniqueValues" dxfId="15" priority="7"/>
  </conditionalFormatting>
  <conditionalFormatting sqref="F10:F29">
    <cfRule type="expression" dxfId="14" priority="6">
      <formula>$C10=""</formula>
    </cfRule>
  </conditionalFormatting>
  <conditionalFormatting sqref="H10:I29">
    <cfRule type="expression" dxfId="13" priority="5">
      <formula>$C10=""</formula>
    </cfRule>
  </conditionalFormatting>
  <conditionalFormatting sqref="B10:B29">
    <cfRule type="expression" dxfId="12" priority="4">
      <formula>$C10=""</formula>
    </cfRule>
  </conditionalFormatting>
  <conditionalFormatting sqref="L10:L29">
    <cfRule type="cellIs" dxfId="11" priority="3" operator="equal">
      <formula>0</formula>
    </cfRule>
  </conditionalFormatting>
  <conditionalFormatting sqref="M10:N29">
    <cfRule type="expression" dxfId="10" priority="2">
      <formula>$C10=""</formula>
    </cfRule>
  </conditionalFormatting>
  <conditionalFormatting sqref="O10:P29">
    <cfRule type="expression" dxfId="9" priority="1">
      <formula>$C10=""</formula>
    </cfRule>
  </conditionalFormatting>
  <dataValidations count="1">
    <dataValidation allowBlank="1" showInputMessage="1" showErrorMessage="1" promptTitle="Month" sqref="I6" xr:uid="{820AF1E3-4A09-467E-8B93-167929C5CA82}"/>
  </dataValidations>
  <pageMargins left="0.23622047244094491" right="0.23622047244094491" top="0.74803149606299213" bottom="0.74803149606299213" header="0.31496062992125984" footer="0.31496062992125984"/>
  <pageSetup paperSize="9" scale="86" fitToHeight="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95204-3D17-497A-9B1D-D4AFC1F932F0}">
  <sheetPr codeName="Sheet29">
    <pageSetUpPr fitToPage="1"/>
  </sheetPr>
  <dimension ref="A1:R74"/>
  <sheetViews>
    <sheetView showGridLines="0" zoomScaleNormal="100" workbookViewId="0">
      <selection activeCell="C10" sqref="C10"/>
    </sheetView>
  </sheetViews>
  <sheetFormatPr defaultColWidth="8.85546875" defaultRowHeight="12.75" x14ac:dyDescent="0.2"/>
  <cols>
    <col min="1" max="1" width="20.7109375" style="76" customWidth="1"/>
    <col min="2" max="2" width="4.42578125" style="80" customWidth="1"/>
    <col min="3" max="5" width="24.42578125" style="80" customWidth="1"/>
    <col min="6" max="6" width="10.140625" style="80" customWidth="1"/>
    <col min="7" max="9" width="8.85546875" style="80"/>
    <col min="10" max="11" width="10.140625" style="80" bestFit="1" customWidth="1"/>
    <col min="12" max="15" width="13.7109375" style="80" customWidth="1"/>
    <col min="16" max="17" width="14.5703125" style="80" customWidth="1"/>
    <col min="18" max="18" width="8.85546875" style="150"/>
    <col min="19" max="16384" width="8.85546875" style="80"/>
  </cols>
  <sheetData>
    <row r="1" spans="1:18" ht="15.75" x14ac:dyDescent="0.25">
      <c r="B1" s="77" t="s">
        <v>44</v>
      </c>
      <c r="C1" s="78"/>
      <c r="D1" s="78"/>
      <c r="E1" s="79" t="s">
        <v>1</v>
      </c>
      <c r="G1" s="78"/>
      <c r="H1" s="78"/>
      <c r="I1" s="78"/>
      <c r="R1" s="114">
        <f>IF(Beneficiaries!$P$30&gt;0,1,"")</f>
        <v>1</v>
      </c>
    </row>
    <row r="2" spans="1:18" ht="15.75" x14ac:dyDescent="0.25"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114">
        <f>IF('Beneficiaries (2)'!$P$30&gt;0,1,"")</f>
        <v>1</v>
      </c>
    </row>
    <row r="3" spans="1:18" x14ac:dyDescent="0.2">
      <c r="B3" s="210" t="s">
        <v>28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81"/>
      <c r="R3" s="114">
        <f>IF('Beneficiaries (3)'!$P$30&gt;0,1,"")</f>
        <v>1</v>
      </c>
    </row>
    <row r="4" spans="1:18" x14ac:dyDescent="0.2">
      <c r="C4" s="77"/>
      <c r="D4" s="77"/>
      <c r="E4" s="77"/>
      <c r="F4" s="77"/>
      <c r="G4" s="77"/>
      <c r="R4" s="114">
        <f>IF('Beneficiaries (4)'!$P$30&gt;0,1,"")</f>
        <v>1</v>
      </c>
    </row>
    <row r="5" spans="1:18" ht="12.75" customHeight="1" x14ac:dyDescent="0.2">
      <c r="B5" s="211" t="s">
        <v>12</v>
      </c>
      <c r="C5" s="212"/>
      <c r="D5" s="215" t="str">
        <f>Project!$Z$25</f>
        <v>WSDS/24/111i</v>
      </c>
      <c r="E5" s="215"/>
      <c r="F5" s="82"/>
      <c r="H5" s="83" t="s">
        <v>80</v>
      </c>
      <c r="I5" s="83" t="s">
        <v>81</v>
      </c>
      <c r="J5" s="77"/>
      <c r="K5" s="216" t="s">
        <v>78</v>
      </c>
      <c r="L5" s="216"/>
      <c r="M5" s="216"/>
      <c r="N5" s="85"/>
      <c r="O5" s="85"/>
      <c r="P5" s="77"/>
      <c r="Q5" s="77"/>
      <c r="R5" s="114">
        <f>IF('Beneficiaries (5)'!$P$30&gt;0,1,"")</f>
        <v>1</v>
      </c>
    </row>
    <row r="6" spans="1:18" x14ac:dyDescent="0.2">
      <c r="B6" s="213"/>
      <c r="C6" s="214"/>
      <c r="D6" s="215"/>
      <c r="E6" s="215"/>
      <c r="F6" s="82"/>
      <c r="H6" s="112" t="str">
        <f>TEXT(Project!$AN$1,"YYYY")</f>
        <v>2023</v>
      </c>
      <c r="I6" s="112" t="str">
        <f>TEXT(Project!$AN$1,"MMMM")</f>
        <v>September</v>
      </c>
      <c r="J6" s="86"/>
      <c r="K6" s="57">
        <v>1</v>
      </c>
      <c r="L6" s="84" t="s">
        <v>79</v>
      </c>
      <c r="M6" s="113">
        <f>IF(K6&gt;0,COUNT(R1:R20),"")</f>
        <v>14</v>
      </c>
      <c r="N6" s="85"/>
      <c r="O6" s="85"/>
      <c r="P6" s="87"/>
      <c r="Q6" s="87"/>
      <c r="R6" s="114">
        <f>IF('Beneficiaries (6)'!$P$30&gt;0,1,"")</f>
        <v>1</v>
      </c>
    </row>
    <row r="7" spans="1:18" x14ac:dyDescent="0.2">
      <c r="B7" s="88"/>
      <c r="C7" s="88"/>
      <c r="D7" s="88"/>
      <c r="E7" s="87"/>
      <c r="F7" s="87"/>
      <c r="H7" s="86"/>
      <c r="I7" s="86"/>
      <c r="J7" s="86"/>
      <c r="K7" s="87"/>
      <c r="L7" s="85"/>
      <c r="M7" s="85"/>
      <c r="N7" s="85"/>
      <c r="O7" s="85"/>
      <c r="P7" s="87"/>
      <c r="Q7" s="87"/>
      <c r="R7" s="114">
        <f>IF('Beneficiaries (7)'!$P$30&gt;0,1,"")</f>
        <v>1</v>
      </c>
    </row>
    <row r="8" spans="1:18" x14ac:dyDescent="0.2">
      <c r="B8" s="89"/>
      <c r="C8" s="90" t="s">
        <v>34</v>
      </c>
      <c r="D8" s="90" t="s">
        <v>34</v>
      </c>
      <c r="E8" s="90" t="s">
        <v>34</v>
      </c>
      <c r="F8" s="90" t="s">
        <v>35</v>
      </c>
      <c r="G8" s="89"/>
      <c r="H8" s="89"/>
      <c r="I8" s="90" t="s">
        <v>36</v>
      </c>
      <c r="J8" s="89"/>
      <c r="K8" s="90" t="s">
        <v>37</v>
      </c>
      <c r="L8" s="90" t="s">
        <v>38</v>
      </c>
      <c r="M8" s="90" t="s">
        <v>42</v>
      </c>
      <c r="N8" s="90"/>
      <c r="O8" s="90" t="s">
        <v>104</v>
      </c>
      <c r="P8" s="90"/>
      <c r="Q8" s="91"/>
      <c r="R8" s="114">
        <f>IF('Beneficiaries (8)'!$P$30&gt;0,1,"")</f>
        <v>1</v>
      </c>
    </row>
    <row r="9" spans="1:18" ht="45" x14ac:dyDescent="0.2">
      <c r="B9" s="92" t="s">
        <v>29</v>
      </c>
      <c r="C9" s="92" t="s">
        <v>30</v>
      </c>
      <c r="D9" s="92" t="s">
        <v>31</v>
      </c>
      <c r="E9" s="92" t="s">
        <v>32</v>
      </c>
      <c r="F9" s="93" t="s">
        <v>96</v>
      </c>
      <c r="G9" s="93" t="s">
        <v>33</v>
      </c>
      <c r="H9" s="93" t="s">
        <v>76</v>
      </c>
      <c r="I9" s="93" t="s">
        <v>77</v>
      </c>
      <c r="J9" s="93" t="s">
        <v>95</v>
      </c>
      <c r="K9" s="93" t="s">
        <v>94</v>
      </c>
      <c r="L9" s="93" t="s">
        <v>41</v>
      </c>
      <c r="M9" s="93" t="s">
        <v>103</v>
      </c>
      <c r="N9" s="93" t="s">
        <v>116</v>
      </c>
      <c r="O9" s="93" t="s">
        <v>102</v>
      </c>
      <c r="P9" s="93" t="s">
        <v>117</v>
      </c>
      <c r="Q9" s="94"/>
      <c r="R9" s="114">
        <f>IF('Beneficiaries (9)'!$P$30&gt;0,1,"")</f>
        <v>1</v>
      </c>
    </row>
    <row r="10" spans="1:18" x14ac:dyDescent="0.2">
      <c r="A10" s="100" t="str">
        <f>ID_Valid(E10)</f>
        <v/>
      </c>
      <c r="B10" s="72">
        <v>281</v>
      </c>
      <c r="C10" s="107" t="str">
        <f>IFERROR(INDEX(Logs!$B$2:$B$500,MATCH('Beneficiaries (15)'!$B10,Logs!$A$2:$A$500,0)),"")</f>
        <v/>
      </c>
      <c r="D10" s="107" t="str">
        <f>IFERROR(INDEX(Logs!$C$2:$C$500,MATCH('Beneficiaries (15)'!$B10,Logs!$A$2:$A$500,0)),"")</f>
        <v/>
      </c>
      <c r="E10" s="108" t="str">
        <f>IFERROR(INDEX(Logs!$D$2:$D$500,MATCH('Beneficiaries (15)'!$B10,Logs!$A$2:$A$500,0)),"")</f>
        <v/>
      </c>
      <c r="F10" s="73" t="s">
        <v>761</v>
      </c>
      <c r="G10" s="101" t="str">
        <f t="shared" ref="G10:G29" si="0">TheGender(E10)</f>
        <v/>
      </c>
      <c r="H10" s="72" t="s">
        <v>761</v>
      </c>
      <c r="I10" s="74" t="s">
        <v>762</v>
      </c>
      <c r="J10" s="110" t="str">
        <f>IFERROR(INDEX(Logs!$E$2:$E$500,MATCH('Beneficiaries (15)'!$B10,Logs!$A$2:$A$500,0)),"")</f>
        <v/>
      </c>
      <c r="K10" s="110" t="str">
        <f>IFERROR(INDEX(Logs!$F$2:$F$500,MATCH('Beneficiaries (15)'!$B10,Logs!$A$2:$A$500,0)),"")</f>
        <v/>
      </c>
      <c r="L10" s="111">
        <f>IFERROR(INDEX(Logs!$G$2:$G$500,MATCH('Beneficiaries (15)'!$B10,Logs!$A$2:$A$500,0)),0)</f>
        <v>0</v>
      </c>
      <c r="M10" s="72">
        <v>0</v>
      </c>
      <c r="N10" s="101">
        <f>M10+L10</f>
        <v>0</v>
      </c>
      <c r="O10" s="102">
        <f>IFERROR(INDEX(Logs!$H$2:$H$500,MATCH('Beneficiaries (15)'!$B10,Logs!$A$2:$A$500,0)),)</f>
        <v>0</v>
      </c>
      <c r="P10" s="103">
        <f>IFERROR(N10*O10,0)</f>
        <v>0</v>
      </c>
      <c r="Q10" s="95"/>
      <c r="R10" s="114">
        <f>IF('Beneficiaries (10)'!$P$30&gt;0,1,"")</f>
        <v>1</v>
      </c>
    </row>
    <row r="11" spans="1:18" x14ac:dyDescent="0.2">
      <c r="A11" s="100" t="str">
        <f t="shared" ref="A11:A29" si="1">ID_Valid(E11)</f>
        <v/>
      </c>
      <c r="B11" s="72">
        <v>282</v>
      </c>
      <c r="C11" s="107" t="str">
        <f>IFERROR(INDEX(Logs!$B$2:$B$500,MATCH('Beneficiaries (15)'!$B11,Logs!$A$2:$A$500,0)),"")</f>
        <v/>
      </c>
      <c r="D11" s="107" t="str">
        <f>IFERROR(INDEX(Logs!$C$2:$C$500,MATCH('Beneficiaries (15)'!$B11,Logs!$A$2:$A$500,0)),"")</f>
        <v/>
      </c>
      <c r="E11" s="108" t="str">
        <f>IFERROR(INDEX(Logs!$D$2:$D$500,MATCH('Beneficiaries (15)'!$B11,Logs!$A$2:$A$500,0)),"")</f>
        <v/>
      </c>
      <c r="F11" s="73" t="s">
        <v>761</v>
      </c>
      <c r="G11" s="101" t="str">
        <f t="shared" si="0"/>
        <v/>
      </c>
      <c r="H11" s="72" t="s">
        <v>761</v>
      </c>
      <c r="I11" s="72" t="s">
        <v>762</v>
      </c>
      <c r="J11" s="111" t="str">
        <f>IFERROR(INDEX(Logs!$E$2:$E$500,MATCH('Beneficiaries (15)'!$B11,Logs!$A$2:$A$500,0)),"")</f>
        <v/>
      </c>
      <c r="K11" s="111" t="str">
        <f>IFERROR(INDEX(Logs!$F$2:$F$500,MATCH('Beneficiaries (15)'!$B11,Logs!$A$2:$A$500,0)),"")</f>
        <v/>
      </c>
      <c r="L11" s="111">
        <f>IFERROR(INDEX(Logs!$G$2:$G$500,MATCH('Beneficiaries (15)'!$B11,Logs!$A$2:$A$500,0)),0)</f>
        <v>0</v>
      </c>
      <c r="M11" s="72">
        <v>0</v>
      </c>
      <c r="N11" s="101">
        <f>L11+M11</f>
        <v>0</v>
      </c>
      <c r="O11" s="102">
        <f>IFERROR(INDEX(Logs!$H$2:$H$500,MATCH('Beneficiaries (15)'!$B11,Logs!$A$2:$A$500,0)),)</f>
        <v>0</v>
      </c>
      <c r="P11" s="103">
        <f t="shared" ref="P11:P29" si="2">IFERROR(N11*O11,0)</f>
        <v>0</v>
      </c>
      <c r="Q11" s="95"/>
      <c r="R11" s="114">
        <f>IF('Beneficiaries (11)'!$P$30&gt;0,1,"")</f>
        <v>1</v>
      </c>
    </row>
    <row r="12" spans="1:18" x14ac:dyDescent="0.2">
      <c r="A12" s="100" t="str">
        <f t="shared" si="1"/>
        <v/>
      </c>
      <c r="B12" s="72">
        <v>283</v>
      </c>
      <c r="C12" s="107" t="str">
        <f>IFERROR(INDEX(Logs!$B$2:$B$500,MATCH('Beneficiaries (15)'!$B12,Logs!$A$2:$A$500,0)),"")</f>
        <v/>
      </c>
      <c r="D12" s="107" t="str">
        <f>IFERROR(INDEX(Logs!$C$2:$C$500,MATCH('Beneficiaries (15)'!$B12,Logs!$A$2:$A$500,0)),"")</f>
        <v/>
      </c>
      <c r="E12" s="108" t="str">
        <f>IFERROR(INDEX(Logs!$D$2:$D$500,MATCH('Beneficiaries (15)'!$B12,Logs!$A$2:$A$500,0)),"")</f>
        <v/>
      </c>
      <c r="F12" s="73" t="s">
        <v>761</v>
      </c>
      <c r="G12" s="101" t="str">
        <f t="shared" si="0"/>
        <v/>
      </c>
      <c r="H12" s="72" t="s">
        <v>761</v>
      </c>
      <c r="I12" s="72" t="s">
        <v>762</v>
      </c>
      <c r="J12" s="111" t="str">
        <f>IFERROR(INDEX(Logs!$E$2:$E$500,MATCH('Beneficiaries (15)'!$B12,Logs!$A$2:$A$500,0)),"")</f>
        <v/>
      </c>
      <c r="K12" s="111" t="str">
        <f>IFERROR(INDEX(Logs!$F$2:$F$500,MATCH('Beneficiaries (15)'!$B12,Logs!$A$2:$A$500,0)),"")</f>
        <v/>
      </c>
      <c r="L12" s="111">
        <f>IFERROR(INDEX(Logs!$G$2:$G$500,MATCH('Beneficiaries (15)'!$B12,Logs!$A$2:$A$500,0)),0)</f>
        <v>0</v>
      </c>
      <c r="M12" s="72">
        <v>0</v>
      </c>
      <c r="N12" s="101">
        <f t="shared" ref="N12:N29" si="3">L12+M12</f>
        <v>0</v>
      </c>
      <c r="O12" s="102">
        <f>IFERROR(INDEX(Logs!$H$2:$H$500,MATCH('Beneficiaries (15)'!$B12,Logs!$A$2:$A$500,0)),)</f>
        <v>0</v>
      </c>
      <c r="P12" s="103">
        <f t="shared" si="2"/>
        <v>0</v>
      </c>
      <c r="Q12" s="95"/>
      <c r="R12" s="114">
        <f>IF('Beneficiaries (12)'!$P$30&gt;0,1,"")</f>
        <v>1</v>
      </c>
    </row>
    <row r="13" spans="1:18" x14ac:dyDescent="0.2">
      <c r="A13" s="100" t="str">
        <f t="shared" si="1"/>
        <v/>
      </c>
      <c r="B13" s="72">
        <v>284</v>
      </c>
      <c r="C13" s="107" t="str">
        <f>IFERROR(INDEX(Logs!$B$2:$B$500,MATCH('Beneficiaries (15)'!$B13,Logs!$A$2:$A$500,0)),"")</f>
        <v/>
      </c>
      <c r="D13" s="107" t="str">
        <f>IFERROR(INDEX(Logs!$C$2:$C$500,MATCH('Beneficiaries (15)'!$B13,Logs!$A$2:$A$500,0)),"")</f>
        <v/>
      </c>
      <c r="E13" s="108" t="str">
        <f>IFERROR(INDEX(Logs!$D$2:$D$500,MATCH('Beneficiaries (15)'!$B13,Logs!$A$2:$A$500,0)),"")</f>
        <v/>
      </c>
      <c r="F13" s="73" t="s">
        <v>761</v>
      </c>
      <c r="G13" s="101" t="str">
        <f t="shared" si="0"/>
        <v/>
      </c>
      <c r="H13" s="72" t="s">
        <v>761</v>
      </c>
      <c r="I13" s="72" t="s">
        <v>762</v>
      </c>
      <c r="J13" s="111" t="str">
        <f>IFERROR(INDEX(Logs!$E$2:$E$500,MATCH('Beneficiaries (15)'!$B13,Logs!$A$2:$A$500,0)),"")</f>
        <v/>
      </c>
      <c r="K13" s="111" t="str">
        <f>IFERROR(INDEX(Logs!$F$2:$F$500,MATCH('Beneficiaries (15)'!$B13,Logs!$A$2:$A$500,0)),"")</f>
        <v/>
      </c>
      <c r="L13" s="111">
        <f>IFERROR(INDEX(Logs!$G$2:$G$500,MATCH('Beneficiaries (15)'!$B13,Logs!$A$2:$A$500,0)),0)</f>
        <v>0</v>
      </c>
      <c r="M13" s="72">
        <v>0</v>
      </c>
      <c r="N13" s="101">
        <f t="shared" si="3"/>
        <v>0</v>
      </c>
      <c r="O13" s="102">
        <f>IFERROR(INDEX(Logs!$H$2:$H$500,MATCH('Beneficiaries (15)'!$B13,Logs!$A$2:$A$500,0)),)</f>
        <v>0</v>
      </c>
      <c r="P13" s="103">
        <f t="shared" si="2"/>
        <v>0</v>
      </c>
      <c r="Q13" s="95"/>
      <c r="R13" s="114">
        <f>IF('Beneficiaries (13)'!$P$30&gt;0,1,"")</f>
        <v>1</v>
      </c>
    </row>
    <row r="14" spans="1:18" x14ac:dyDescent="0.2">
      <c r="A14" s="100" t="str">
        <f t="shared" si="1"/>
        <v/>
      </c>
      <c r="B14" s="72">
        <v>285</v>
      </c>
      <c r="C14" s="107" t="str">
        <f>IFERROR(INDEX(Logs!$B$2:$B$500,MATCH('Beneficiaries (15)'!$B14,Logs!$A$2:$A$500,0)),"")</f>
        <v/>
      </c>
      <c r="D14" s="107" t="str">
        <f>IFERROR(INDEX(Logs!$C$2:$C$500,MATCH('Beneficiaries (15)'!$B14,Logs!$A$2:$A$500,0)),"")</f>
        <v/>
      </c>
      <c r="E14" s="108" t="str">
        <f>IFERROR(INDEX(Logs!$D$2:$D$500,MATCH('Beneficiaries (15)'!$B14,Logs!$A$2:$A$500,0)),"")</f>
        <v/>
      </c>
      <c r="F14" s="73" t="s">
        <v>761</v>
      </c>
      <c r="G14" s="101" t="str">
        <f t="shared" si="0"/>
        <v/>
      </c>
      <c r="H14" s="72" t="s">
        <v>761</v>
      </c>
      <c r="I14" s="72" t="s">
        <v>762</v>
      </c>
      <c r="J14" s="111" t="str">
        <f>IFERROR(INDEX(Logs!$E$2:$E$500,MATCH('Beneficiaries (15)'!$B14,Logs!$A$2:$A$500,0)),"")</f>
        <v/>
      </c>
      <c r="K14" s="111" t="str">
        <f>IFERROR(INDEX(Logs!$F$2:$F$500,MATCH('Beneficiaries (15)'!$B14,Logs!$A$2:$A$500,0)),"")</f>
        <v/>
      </c>
      <c r="L14" s="111">
        <f>IFERROR(INDEX(Logs!$G$2:$G$500,MATCH('Beneficiaries (15)'!$B14,Logs!$A$2:$A$500,0)),0)</f>
        <v>0</v>
      </c>
      <c r="M14" s="72">
        <v>0</v>
      </c>
      <c r="N14" s="101">
        <f t="shared" si="3"/>
        <v>0</v>
      </c>
      <c r="O14" s="102">
        <f>IFERROR(INDEX(Logs!$H$2:$H$500,MATCH('Beneficiaries (15)'!$B14,Logs!$A$2:$A$500,0)),)</f>
        <v>0</v>
      </c>
      <c r="P14" s="103">
        <f t="shared" si="2"/>
        <v>0</v>
      </c>
      <c r="Q14" s="95"/>
      <c r="R14" s="114">
        <f>IF('Beneficiaries (14)'!$P$30&gt;0,1,"")</f>
        <v>1</v>
      </c>
    </row>
    <row r="15" spans="1:18" x14ac:dyDescent="0.2">
      <c r="A15" s="100" t="str">
        <f t="shared" si="1"/>
        <v/>
      </c>
      <c r="B15" s="72">
        <v>286</v>
      </c>
      <c r="C15" s="107" t="str">
        <f>IFERROR(INDEX(Logs!$B$2:$B$500,MATCH('Beneficiaries (15)'!$B15,Logs!$A$2:$A$500,0)),"")</f>
        <v/>
      </c>
      <c r="D15" s="107" t="str">
        <f>IFERROR(INDEX(Logs!$C$2:$C$500,MATCH('Beneficiaries (15)'!$B15,Logs!$A$2:$A$500,0)),"")</f>
        <v/>
      </c>
      <c r="E15" s="108" t="str">
        <f>IFERROR(INDEX(Logs!$D$2:$D$500,MATCH('Beneficiaries (15)'!$B15,Logs!$A$2:$A$500,0)),"")</f>
        <v/>
      </c>
      <c r="F15" s="73" t="s">
        <v>761</v>
      </c>
      <c r="G15" s="101" t="str">
        <f t="shared" si="0"/>
        <v/>
      </c>
      <c r="H15" s="72" t="s">
        <v>761</v>
      </c>
      <c r="I15" s="72" t="s">
        <v>762</v>
      </c>
      <c r="J15" s="111" t="str">
        <f>IFERROR(INDEX(Logs!$E$2:$E$500,MATCH('Beneficiaries (15)'!$B15,Logs!$A$2:$A$500,0)),"")</f>
        <v/>
      </c>
      <c r="K15" s="111" t="str">
        <f>IFERROR(INDEX(Logs!$F$2:$F$500,MATCH('Beneficiaries (15)'!$B15,Logs!$A$2:$A$500,0)),"")</f>
        <v/>
      </c>
      <c r="L15" s="111">
        <f>IFERROR(INDEX(Logs!$G$2:$G$500,MATCH('Beneficiaries (15)'!$B15,Logs!$A$2:$A$500,0)),0)</f>
        <v>0</v>
      </c>
      <c r="M15" s="72">
        <v>0</v>
      </c>
      <c r="N15" s="101">
        <f t="shared" si="3"/>
        <v>0</v>
      </c>
      <c r="O15" s="102">
        <f>IFERROR(INDEX(Logs!$H$2:$H$500,MATCH('Beneficiaries (15)'!$B15,Logs!$A$2:$A$500,0)),)</f>
        <v>0</v>
      </c>
      <c r="P15" s="103">
        <f t="shared" si="2"/>
        <v>0</v>
      </c>
      <c r="Q15" s="95"/>
      <c r="R15" s="114" t="str">
        <f>IF('Beneficiaries (15)'!$P$30&gt;0,1,"")</f>
        <v/>
      </c>
    </row>
    <row r="16" spans="1:18" x14ac:dyDescent="0.2">
      <c r="A16" s="100" t="str">
        <f t="shared" si="1"/>
        <v/>
      </c>
      <c r="B16" s="72">
        <v>287</v>
      </c>
      <c r="C16" s="107" t="str">
        <f>IFERROR(INDEX(Logs!$B$2:$B$500,MATCH('Beneficiaries (15)'!$B16,Logs!$A$2:$A$500,0)),"")</f>
        <v/>
      </c>
      <c r="D16" s="107" t="str">
        <f>IFERROR(INDEX(Logs!$C$2:$C$500,MATCH('Beneficiaries (15)'!$B16,Logs!$A$2:$A$500,0)),"")</f>
        <v/>
      </c>
      <c r="E16" s="108" t="str">
        <f>IFERROR(INDEX(Logs!$D$2:$D$500,MATCH('Beneficiaries (15)'!$B16,Logs!$A$2:$A$500,0)),"")</f>
        <v/>
      </c>
      <c r="F16" s="73" t="s">
        <v>761</v>
      </c>
      <c r="G16" s="101" t="str">
        <f t="shared" si="0"/>
        <v/>
      </c>
      <c r="H16" s="72" t="s">
        <v>761</v>
      </c>
      <c r="I16" s="72" t="s">
        <v>762</v>
      </c>
      <c r="J16" s="111" t="str">
        <f>IFERROR(INDEX(Logs!$E$2:$E$500,MATCH('Beneficiaries (15)'!$B16,Logs!$A$2:$A$500,0)),"")</f>
        <v/>
      </c>
      <c r="K16" s="111" t="str">
        <f>IFERROR(INDEX(Logs!$F$2:$F$500,MATCH('Beneficiaries (15)'!$B16,Logs!$A$2:$A$500,0)),"")</f>
        <v/>
      </c>
      <c r="L16" s="111">
        <f>IFERROR(INDEX(Logs!$G$2:$G$500,MATCH('Beneficiaries (15)'!$B16,Logs!$A$2:$A$500,0)),0)</f>
        <v>0</v>
      </c>
      <c r="M16" s="72">
        <v>0</v>
      </c>
      <c r="N16" s="101">
        <f t="shared" si="3"/>
        <v>0</v>
      </c>
      <c r="O16" s="102">
        <f>IFERROR(INDEX(Logs!$H$2:$H$500,MATCH('Beneficiaries (15)'!$B16,Logs!$A$2:$A$500,0)),)</f>
        <v>0</v>
      </c>
      <c r="P16" s="103">
        <f t="shared" si="2"/>
        <v>0</v>
      </c>
      <c r="Q16" s="95"/>
      <c r="R16" s="115"/>
    </row>
    <row r="17" spans="1:18" x14ac:dyDescent="0.2">
      <c r="A17" s="100" t="str">
        <f t="shared" si="1"/>
        <v/>
      </c>
      <c r="B17" s="72">
        <v>288</v>
      </c>
      <c r="C17" s="107" t="str">
        <f>IFERROR(INDEX(Logs!$B$2:$B$500,MATCH('Beneficiaries (15)'!$B17,Logs!$A$2:$A$500,0)),"")</f>
        <v/>
      </c>
      <c r="D17" s="107" t="str">
        <f>IFERROR(INDEX(Logs!$C$2:$C$500,MATCH('Beneficiaries (15)'!$B17,Logs!$A$2:$A$500,0)),"")</f>
        <v/>
      </c>
      <c r="E17" s="108" t="str">
        <f>IFERROR(INDEX(Logs!$D$2:$D$500,MATCH('Beneficiaries (15)'!$B17,Logs!$A$2:$A$500,0)),"")</f>
        <v/>
      </c>
      <c r="F17" s="73" t="s">
        <v>761</v>
      </c>
      <c r="G17" s="101" t="str">
        <f t="shared" si="0"/>
        <v/>
      </c>
      <c r="H17" s="72" t="s">
        <v>761</v>
      </c>
      <c r="I17" s="72" t="s">
        <v>762</v>
      </c>
      <c r="J17" s="111" t="str">
        <f>IFERROR(INDEX(Logs!$E$2:$E$500,MATCH('Beneficiaries (15)'!$B17,Logs!$A$2:$A$500,0)),"")</f>
        <v/>
      </c>
      <c r="K17" s="111" t="str">
        <f>IFERROR(INDEX(Logs!$F$2:$F$500,MATCH('Beneficiaries (15)'!$B17,Logs!$A$2:$A$500,0)),"")</f>
        <v/>
      </c>
      <c r="L17" s="111">
        <f>IFERROR(INDEX(Logs!$G$2:$G$500,MATCH('Beneficiaries (15)'!$B17,Logs!$A$2:$A$500,0)),0)</f>
        <v>0</v>
      </c>
      <c r="M17" s="72">
        <v>0</v>
      </c>
      <c r="N17" s="101">
        <f t="shared" si="3"/>
        <v>0</v>
      </c>
      <c r="O17" s="102">
        <f>IFERROR(INDEX(Logs!$H$2:$H$500,MATCH('Beneficiaries (15)'!$B17,Logs!$A$2:$A$500,0)),)</f>
        <v>0</v>
      </c>
      <c r="P17" s="103">
        <f t="shared" si="2"/>
        <v>0</v>
      </c>
      <c r="Q17" s="95"/>
      <c r="R17" s="115"/>
    </row>
    <row r="18" spans="1:18" x14ac:dyDescent="0.2">
      <c r="A18" s="100" t="str">
        <f t="shared" si="1"/>
        <v/>
      </c>
      <c r="B18" s="72">
        <v>289</v>
      </c>
      <c r="C18" s="107" t="str">
        <f>IFERROR(INDEX(Logs!$B$2:$B$500,MATCH('Beneficiaries (15)'!$B18,Logs!$A$2:$A$500,0)),"")</f>
        <v/>
      </c>
      <c r="D18" s="107" t="str">
        <f>IFERROR(INDEX(Logs!$C$2:$C$500,MATCH('Beneficiaries (15)'!$B18,Logs!$A$2:$A$500,0)),"")</f>
        <v/>
      </c>
      <c r="E18" s="108" t="str">
        <f>IFERROR(INDEX(Logs!$D$2:$D$500,MATCH('Beneficiaries (15)'!$B18,Logs!$A$2:$A$500,0)),"")</f>
        <v/>
      </c>
      <c r="F18" s="73" t="s">
        <v>761</v>
      </c>
      <c r="G18" s="101" t="str">
        <f t="shared" si="0"/>
        <v/>
      </c>
      <c r="H18" s="72" t="s">
        <v>761</v>
      </c>
      <c r="I18" s="72" t="s">
        <v>762</v>
      </c>
      <c r="J18" s="111" t="str">
        <f>IFERROR(INDEX(Logs!$E$2:$E$500,MATCH('Beneficiaries (15)'!$B18,Logs!$A$2:$A$500,0)),"")</f>
        <v/>
      </c>
      <c r="K18" s="111" t="str">
        <f>IFERROR(INDEX(Logs!$F$2:$F$500,MATCH('Beneficiaries (15)'!$B18,Logs!$A$2:$A$500,0)),"")</f>
        <v/>
      </c>
      <c r="L18" s="111">
        <f>IFERROR(INDEX(Logs!$G$2:$G$500,MATCH('Beneficiaries (15)'!$B18,Logs!$A$2:$A$500,0)),0)</f>
        <v>0</v>
      </c>
      <c r="M18" s="72">
        <v>0</v>
      </c>
      <c r="N18" s="101">
        <f t="shared" si="3"/>
        <v>0</v>
      </c>
      <c r="O18" s="102">
        <f>IFERROR(INDEX(Logs!$H$2:$H$500,MATCH('Beneficiaries (15)'!$B18,Logs!$A$2:$A$500,0)),)</f>
        <v>0</v>
      </c>
      <c r="P18" s="103">
        <f t="shared" si="2"/>
        <v>0</v>
      </c>
      <c r="Q18" s="95"/>
      <c r="R18" s="115"/>
    </row>
    <row r="19" spans="1:18" x14ac:dyDescent="0.2">
      <c r="A19" s="100" t="str">
        <f t="shared" si="1"/>
        <v/>
      </c>
      <c r="B19" s="72">
        <v>290</v>
      </c>
      <c r="C19" s="107" t="str">
        <f>IFERROR(INDEX(Logs!$B$2:$B$500,MATCH('Beneficiaries (15)'!$B19,Logs!$A$2:$A$500,0)),"")</f>
        <v/>
      </c>
      <c r="D19" s="107" t="str">
        <f>IFERROR(INDEX(Logs!$C$2:$C$500,MATCH('Beneficiaries (15)'!$B19,Logs!$A$2:$A$500,0)),"")</f>
        <v/>
      </c>
      <c r="E19" s="108" t="str">
        <f>IFERROR(INDEX(Logs!$D$2:$D$500,MATCH('Beneficiaries (15)'!$B19,Logs!$A$2:$A$500,0)),"")</f>
        <v/>
      </c>
      <c r="F19" s="73" t="s">
        <v>761</v>
      </c>
      <c r="G19" s="101" t="str">
        <f t="shared" si="0"/>
        <v/>
      </c>
      <c r="H19" s="72" t="s">
        <v>761</v>
      </c>
      <c r="I19" s="72" t="s">
        <v>762</v>
      </c>
      <c r="J19" s="111" t="str">
        <f>IFERROR(INDEX(Logs!$E$2:$E$500,MATCH('Beneficiaries (15)'!$B19,Logs!$A$2:$A$500,0)),"")</f>
        <v/>
      </c>
      <c r="K19" s="111" t="str">
        <f>IFERROR(INDEX(Logs!$F$2:$F$500,MATCH('Beneficiaries (15)'!$B19,Logs!$A$2:$A$500,0)),"")</f>
        <v/>
      </c>
      <c r="L19" s="111">
        <f>IFERROR(INDEX(Logs!$G$2:$G$500,MATCH('Beneficiaries (15)'!$B19,Logs!$A$2:$A$500,0)),0)</f>
        <v>0</v>
      </c>
      <c r="M19" s="72">
        <v>0</v>
      </c>
      <c r="N19" s="101">
        <f t="shared" si="3"/>
        <v>0</v>
      </c>
      <c r="O19" s="102">
        <f>IFERROR(INDEX(Logs!$H$2:$H$500,MATCH('Beneficiaries (15)'!$B19,Logs!$A$2:$A$500,0)),)</f>
        <v>0</v>
      </c>
      <c r="P19" s="103">
        <f t="shared" si="2"/>
        <v>0</v>
      </c>
      <c r="Q19" s="95"/>
    </row>
    <row r="20" spans="1:18" x14ac:dyDescent="0.2">
      <c r="A20" s="100" t="str">
        <f t="shared" si="1"/>
        <v/>
      </c>
      <c r="B20" s="72">
        <v>291</v>
      </c>
      <c r="C20" s="107" t="str">
        <f>IFERROR(INDEX(Logs!$B$2:$B$500,MATCH('Beneficiaries (15)'!$B20,Logs!$A$2:$A$500,0)),"")</f>
        <v/>
      </c>
      <c r="D20" s="107" t="str">
        <f>IFERROR(INDEX(Logs!$C$2:$C$500,MATCH('Beneficiaries (15)'!$B20,Logs!$A$2:$A$500,0)),"")</f>
        <v/>
      </c>
      <c r="E20" s="108" t="str">
        <f>IFERROR(INDEX(Logs!$D$2:$D$500,MATCH('Beneficiaries (15)'!$B20,Logs!$A$2:$A$500,0)),"")</f>
        <v/>
      </c>
      <c r="F20" s="73" t="s">
        <v>761</v>
      </c>
      <c r="G20" s="101" t="str">
        <f t="shared" si="0"/>
        <v/>
      </c>
      <c r="H20" s="72" t="s">
        <v>761</v>
      </c>
      <c r="I20" s="72" t="s">
        <v>762</v>
      </c>
      <c r="J20" s="111" t="str">
        <f>IFERROR(INDEX(Logs!$E$2:$E$500,MATCH('Beneficiaries (15)'!$B20,Logs!$A$2:$A$500,0)),"")</f>
        <v/>
      </c>
      <c r="K20" s="111" t="str">
        <f>IFERROR(INDEX(Logs!$F$2:$F$500,MATCH('Beneficiaries (15)'!$B20,Logs!$A$2:$A$500,0)),"")</f>
        <v/>
      </c>
      <c r="L20" s="111">
        <f>IFERROR(INDEX(Logs!$G$2:$G$500,MATCH('Beneficiaries (15)'!$B20,Logs!$A$2:$A$500,0)),0)</f>
        <v>0</v>
      </c>
      <c r="M20" s="72">
        <v>0</v>
      </c>
      <c r="N20" s="101">
        <f t="shared" si="3"/>
        <v>0</v>
      </c>
      <c r="O20" s="102">
        <f>IFERROR(INDEX(Logs!$H$2:$H$500,MATCH('Beneficiaries (15)'!$B20,Logs!$A$2:$A$500,0)),)</f>
        <v>0</v>
      </c>
      <c r="P20" s="103">
        <f t="shared" si="2"/>
        <v>0</v>
      </c>
      <c r="Q20" s="95"/>
    </row>
    <row r="21" spans="1:18" x14ac:dyDescent="0.2">
      <c r="A21" s="100" t="str">
        <f t="shared" si="1"/>
        <v/>
      </c>
      <c r="B21" s="72">
        <v>292</v>
      </c>
      <c r="C21" s="107" t="str">
        <f>IFERROR(INDEX(Logs!$B$2:$B$500,MATCH('Beneficiaries (15)'!$B21,Logs!$A$2:$A$500,0)),"")</f>
        <v/>
      </c>
      <c r="D21" s="107" t="str">
        <f>IFERROR(INDEX(Logs!$C$2:$C$500,MATCH('Beneficiaries (15)'!$B21,Logs!$A$2:$A$500,0)),"")</f>
        <v/>
      </c>
      <c r="E21" s="108" t="str">
        <f>IFERROR(INDEX(Logs!$D$2:$D$500,MATCH('Beneficiaries (15)'!$B21,Logs!$A$2:$A$500,0)),"")</f>
        <v/>
      </c>
      <c r="F21" s="73" t="s">
        <v>761</v>
      </c>
      <c r="G21" s="101" t="str">
        <f t="shared" si="0"/>
        <v/>
      </c>
      <c r="H21" s="72" t="s">
        <v>761</v>
      </c>
      <c r="I21" s="72" t="s">
        <v>762</v>
      </c>
      <c r="J21" s="111" t="str">
        <f>IFERROR(INDEX(Logs!$E$2:$E$500,MATCH('Beneficiaries (15)'!$B21,Logs!$A$2:$A$500,0)),"")</f>
        <v/>
      </c>
      <c r="K21" s="111" t="str">
        <f>IFERROR(INDEX(Logs!$F$2:$F$500,MATCH('Beneficiaries (15)'!$B21,Logs!$A$2:$A$500,0)),"")</f>
        <v/>
      </c>
      <c r="L21" s="111">
        <f>IFERROR(INDEX(Logs!$G$2:$G$500,MATCH('Beneficiaries (15)'!$B21,Logs!$A$2:$A$500,0)),0)</f>
        <v>0</v>
      </c>
      <c r="M21" s="72">
        <v>0</v>
      </c>
      <c r="N21" s="101">
        <f t="shared" si="3"/>
        <v>0</v>
      </c>
      <c r="O21" s="102">
        <f>IFERROR(INDEX(Logs!$H$2:$H$500,MATCH('Beneficiaries (15)'!$B21,Logs!$A$2:$A$500,0)),)</f>
        <v>0</v>
      </c>
      <c r="P21" s="103">
        <f t="shared" si="2"/>
        <v>0</v>
      </c>
      <c r="Q21" s="95"/>
    </row>
    <row r="22" spans="1:18" x14ac:dyDescent="0.2">
      <c r="A22" s="100" t="str">
        <f t="shared" si="1"/>
        <v/>
      </c>
      <c r="B22" s="72">
        <v>293</v>
      </c>
      <c r="C22" s="109" t="str">
        <f>IFERROR(INDEX(Logs!$B$2:$B$500,MATCH('Beneficiaries (15)'!$B22,Logs!$A$2:$A$500,0)),"")</f>
        <v/>
      </c>
      <c r="D22" s="107" t="str">
        <f>IFERROR(INDEX(Logs!$C$2:$C$500,MATCH('Beneficiaries (15)'!$B22,Logs!$A$2:$A$500,0)),"")</f>
        <v/>
      </c>
      <c r="E22" s="108" t="str">
        <f>IFERROR(INDEX(Logs!$D$2:$D$500,MATCH('Beneficiaries (15)'!$B22,Logs!$A$2:$A$500,0)),"")</f>
        <v/>
      </c>
      <c r="F22" s="73" t="s">
        <v>761</v>
      </c>
      <c r="G22" s="101" t="str">
        <f t="shared" si="0"/>
        <v/>
      </c>
      <c r="H22" s="72" t="s">
        <v>761</v>
      </c>
      <c r="I22" s="72" t="s">
        <v>762</v>
      </c>
      <c r="J22" s="111" t="str">
        <f>IFERROR(INDEX(Logs!$E$2:$E$500,MATCH('Beneficiaries (15)'!$B22,Logs!$A$2:$A$500,0)),"")</f>
        <v/>
      </c>
      <c r="K22" s="111" t="str">
        <f>IFERROR(INDEX(Logs!$F$2:$F$500,MATCH('Beneficiaries (15)'!$B22,Logs!$A$2:$A$500,0)),"")</f>
        <v/>
      </c>
      <c r="L22" s="111">
        <f>IFERROR(INDEX(Logs!$G$2:$G$500,MATCH('Beneficiaries (15)'!$B22,Logs!$A$2:$A$500,0)),0)</f>
        <v>0</v>
      </c>
      <c r="M22" s="72">
        <v>0</v>
      </c>
      <c r="N22" s="101">
        <f t="shared" si="3"/>
        <v>0</v>
      </c>
      <c r="O22" s="102">
        <f>IFERROR(INDEX(Logs!$H$2:$H$500,MATCH('Beneficiaries (15)'!$B22,Logs!$A$2:$A$500,0)),)</f>
        <v>0</v>
      </c>
      <c r="P22" s="103">
        <f t="shared" si="2"/>
        <v>0</v>
      </c>
      <c r="Q22" s="95"/>
    </row>
    <row r="23" spans="1:18" x14ac:dyDescent="0.2">
      <c r="A23" s="100" t="str">
        <f t="shared" si="1"/>
        <v/>
      </c>
      <c r="B23" s="72">
        <v>294</v>
      </c>
      <c r="C23" s="109" t="str">
        <f>IFERROR(INDEX(Logs!$B$2:$B$500,MATCH('Beneficiaries (15)'!$B23,Logs!$A$2:$A$500,0)),"")</f>
        <v/>
      </c>
      <c r="D23" s="107" t="str">
        <f>IFERROR(INDEX(Logs!$C$2:$C$500,MATCH('Beneficiaries (15)'!$B23,Logs!$A$2:$A$500,0)),"")</f>
        <v/>
      </c>
      <c r="E23" s="108" t="str">
        <f>IFERROR(INDEX(Logs!$D$2:$D$500,MATCH('Beneficiaries (15)'!$B23,Logs!$A$2:$A$500,0)),"")</f>
        <v/>
      </c>
      <c r="F23" s="73" t="s">
        <v>761</v>
      </c>
      <c r="G23" s="101" t="str">
        <f t="shared" si="0"/>
        <v/>
      </c>
      <c r="H23" s="72" t="s">
        <v>761</v>
      </c>
      <c r="I23" s="72" t="s">
        <v>762</v>
      </c>
      <c r="J23" s="111" t="str">
        <f>IFERROR(INDEX(Logs!$E$2:$E$500,MATCH('Beneficiaries (15)'!$B23,Logs!$A$2:$A$500,0)),"")</f>
        <v/>
      </c>
      <c r="K23" s="111" t="str">
        <f>IFERROR(INDEX(Logs!$F$2:$F$500,MATCH('Beneficiaries (15)'!$B23,Logs!$A$2:$A$500,0)),"")</f>
        <v/>
      </c>
      <c r="L23" s="111">
        <f>IFERROR(INDEX(Logs!$G$2:$G$500,MATCH('Beneficiaries (15)'!$B23,Logs!$A$2:$A$500,0)),0)</f>
        <v>0</v>
      </c>
      <c r="M23" s="72">
        <v>0</v>
      </c>
      <c r="N23" s="101">
        <f t="shared" si="3"/>
        <v>0</v>
      </c>
      <c r="O23" s="102">
        <f>IFERROR(INDEX(Logs!$H$2:$H$500,MATCH('Beneficiaries (15)'!$B23,Logs!$A$2:$A$500,0)),)</f>
        <v>0</v>
      </c>
      <c r="P23" s="103">
        <f t="shared" si="2"/>
        <v>0</v>
      </c>
      <c r="Q23" s="95"/>
    </row>
    <row r="24" spans="1:18" x14ac:dyDescent="0.2">
      <c r="A24" s="100" t="str">
        <f t="shared" si="1"/>
        <v/>
      </c>
      <c r="B24" s="72">
        <v>295</v>
      </c>
      <c r="C24" s="109" t="str">
        <f>IFERROR(INDEX(Logs!$B$2:$B$500,MATCH('Beneficiaries (15)'!$B24,Logs!$A$2:$A$500,0)),"")</f>
        <v/>
      </c>
      <c r="D24" s="107" t="str">
        <f>IFERROR(INDEX(Logs!$C$2:$C$500,MATCH('Beneficiaries (15)'!$B24,Logs!$A$2:$A$500,0)),"")</f>
        <v/>
      </c>
      <c r="E24" s="108" t="str">
        <f>IFERROR(INDEX(Logs!$D$2:$D$500,MATCH('Beneficiaries (15)'!$B24,Logs!$A$2:$A$500,0)),"")</f>
        <v/>
      </c>
      <c r="F24" s="73" t="s">
        <v>761</v>
      </c>
      <c r="G24" s="101" t="str">
        <f t="shared" si="0"/>
        <v/>
      </c>
      <c r="H24" s="72" t="s">
        <v>761</v>
      </c>
      <c r="I24" s="72" t="s">
        <v>762</v>
      </c>
      <c r="J24" s="111" t="str">
        <f>IFERROR(INDEX(Logs!$E$2:$E$500,MATCH('Beneficiaries (15)'!$B24,Logs!$A$2:$A$500,0)),"")</f>
        <v/>
      </c>
      <c r="K24" s="111" t="str">
        <f>IFERROR(INDEX(Logs!$F$2:$F$500,MATCH('Beneficiaries (15)'!$B24,Logs!$A$2:$A$500,0)),"")</f>
        <v/>
      </c>
      <c r="L24" s="111">
        <f>IFERROR(INDEX(Logs!$G$2:$G$500,MATCH('Beneficiaries (15)'!$B24,Logs!$A$2:$A$500,0)),0)</f>
        <v>0</v>
      </c>
      <c r="M24" s="72">
        <v>0</v>
      </c>
      <c r="N24" s="101">
        <f t="shared" si="3"/>
        <v>0</v>
      </c>
      <c r="O24" s="102">
        <f>IFERROR(INDEX(Logs!$H$2:$H$500,MATCH('Beneficiaries (15)'!$B24,Logs!$A$2:$A$500,0)),)</f>
        <v>0</v>
      </c>
      <c r="P24" s="103">
        <f t="shared" si="2"/>
        <v>0</v>
      </c>
      <c r="Q24" s="95"/>
    </row>
    <row r="25" spans="1:18" x14ac:dyDescent="0.2">
      <c r="A25" s="100" t="str">
        <f t="shared" si="1"/>
        <v/>
      </c>
      <c r="B25" s="72">
        <v>296</v>
      </c>
      <c r="C25" s="110" t="str">
        <f>IFERROR(INDEX(Logs!$B$2:$B$500,MATCH('Beneficiaries (15)'!$B25,Logs!$A$2:$A$500,0)),"")</f>
        <v/>
      </c>
      <c r="D25" s="107" t="str">
        <f>IFERROR(INDEX(Logs!$C$2:$C$500,MATCH('Beneficiaries (15)'!$B25,Logs!$A$2:$A$500,0)),"")</f>
        <v/>
      </c>
      <c r="E25" s="108" t="str">
        <f>IFERROR(INDEX(Logs!$D$2:$D$500,MATCH('Beneficiaries (15)'!$B25,Logs!$A$2:$A$500,0)),"")</f>
        <v/>
      </c>
      <c r="F25" s="73" t="s">
        <v>761</v>
      </c>
      <c r="G25" s="101" t="str">
        <f t="shared" si="0"/>
        <v/>
      </c>
      <c r="H25" s="72" t="s">
        <v>761</v>
      </c>
      <c r="I25" s="72" t="s">
        <v>762</v>
      </c>
      <c r="J25" s="111" t="str">
        <f>IFERROR(INDEX(Logs!$E$2:$E$500,MATCH('Beneficiaries (15)'!$B25,Logs!$A$2:$A$500,0)),"")</f>
        <v/>
      </c>
      <c r="K25" s="111" t="str">
        <f>IFERROR(INDEX(Logs!$F$2:$F$500,MATCH('Beneficiaries (15)'!$B25,Logs!$A$2:$A$500,0)),"")</f>
        <v/>
      </c>
      <c r="L25" s="111">
        <f>IFERROR(INDEX(Logs!$G$2:$G$500,MATCH('Beneficiaries (15)'!$B25,Logs!$A$2:$A$500,0)),0)</f>
        <v>0</v>
      </c>
      <c r="M25" s="72">
        <v>0</v>
      </c>
      <c r="N25" s="101">
        <f t="shared" si="3"/>
        <v>0</v>
      </c>
      <c r="O25" s="102">
        <f>IFERROR(INDEX(Logs!$H$2:$H$500,MATCH('Beneficiaries (15)'!$B25,Logs!$A$2:$A$500,0)),)</f>
        <v>0</v>
      </c>
      <c r="P25" s="103">
        <f t="shared" si="2"/>
        <v>0</v>
      </c>
      <c r="Q25" s="95"/>
    </row>
    <row r="26" spans="1:18" x14ac:dyDescent="0.2">
      <c r="A26" s="100" t="str">
        <f t="shared" si="1"/>
        <v/>
      </c>
      <c r="B26" s="72">
        <v>297</v>
      </c>
      <c r="C26" s="110" t="str">
        <f>IFERROR(INDEX(Logs!$B$2:$B$500,MATCH('Beneficiaries (15)'!$B26,Logs!$A$2:$A$500,0)),"")</f>
        <v/>
      </c>
      <c r="D26" s="107" t="str">
        <f>IFERROR(INDEX(Logs!$C$2:$C$500,MATCH('Beneficiaries (15)'!$B26,Logs!$A$2:$A$500,0)),"")</f>
        <v/>
      </c>
      <c r="E26" s="108" t="str">
        <f>IFERROR(INDEX(Logs!$D$2:$D$500,MATCH('Beneficiaries (15)'!$B26,Logs!$A$2:$A$500,0)),"")</f>
        <v/>
      </c>
      <c r="F26" s="73" t="s">
        <v>761</v>
      </c>
      <c r="G26" s="101" t="str">
        <f t="shared" si="0"/>
        <v/>
      </c>
      <c r="H26" s="72" t="s">
        <v>761</v>
      </c>
      <c r="I26" s="72" t="s">
        <v>762</v>
      </c>
      <c r="J26" s="111" t="str">
        <f>IFERROR(INDEX(Logs!$E$2:$E$500,MATCH('Beneficiaries (15)'!$B26,Logs!$A$2:$A$500,0)),"")</f>
        <v/>
      </c>
      <c r="K26" s="111" t="str">
        <f>IFERROR(INDEX(Logs!$F$2:$F$500,MATCH('Beneficiaries (15)'!$B26,Logs!$A$2:$A$500,0)),"")</f>
        <v/>
      </c>
      <c r="L26" s="111">
        <f>IFERROR(INDEX(Logs!$G$2:$G$500,MATCH('Beneficiaries (15)'!$B26,Logs!$A$2:$A$500,0)),0)</f>
        <v>0</v>
      </c>
      <c r="M26" s="72">
        <v>0</v>
      </c>
      <c r="N26" s="101">
        <f t="shared" si="3"/>
        <v>0</v>
      </c>
      <c r="O26" s="102">
        <f>IFERROR(INDEX(Logs!$H$2:$H$500,MATCH('Beneficiaries (15)'!$B26,Logs!$A$2:$A$500,0)),)</f>
        <v>0</v>
      </c>
      <c r="P26" s="103">
        <f t="shared" si="2"/>
        <v>0</v>
      </c>
      <c r="Q26" s="95"/>
    </row>
    <row r="27" spans="1:18" x14ac:dyDescent="0.2">
      <c r="A27" s="100" t="str">
        <f t="shared" si="1"/>
        <v/>
      </c>
      <c r="B27" s="72">
        <v>298</v>
      </c>
      <c r="C27" s="110" t="str">
        <f>IFERROR(INDEX(Logs!$B$2:$B$500,MATCH('Beneficiaries (15)'!$B27,Logs!$A$2:$A$500,0)),"")</f>
        <v/>
      </c>
      <c r="D27" s="107" t="str">
        <f>IFERROR(INDEX(Logs!$C$2:$C$500,MATCH('Beneficiaries (15)'!$B27,Logs!$A$2:$A$500,0)),"")</f>
        <v/>
      </c>
      <c r="E27" s="108" t="str">
        <f>IFERROR(INDEX(Logs!$D$2:$D$500,MATCH('Beneficiaries (15)'!$B27,Logs!$A$2:$A$500,0)),"")</f>
        <v/>
      </c>
      <c r="F27" s="73" t="s">
        <v>761</v>
      </c>
      <c r="G27" s="101" t="str">
        <f t="shared" si="0"/>
        <v/>
      </c>
      <c r="H27" s="72" t="s">
        <v>761</v>
      </c>
      <c r="I27" s="72" t="s">
        <v>762</v>
      </c>
      <c r="J27" s="111" t="str">
        <f>IFERROR(INDEX(Logs!$E$2:$E$500,MATCH('Beneficiaries (15)'!$B27,Logs!$A$2:$A$500,0)),"")</f>
        <v/>
      </c>
      <c r="K27" s="111" t="str">
        <f>IFERROR(INDEX(Logs!$F$2:$F$500,MATCH('Beneficiaries (15)'!$B27,Logs!$A$2:$A$500,0)),"")</f>
        <v/>
      </c>
      <c r="L27" s="111">
        <f>IFERROR(INDEX(Logs!$G$2:$G$500,MATCH('Beneficiaries (15)'!$B27,Logs!$A$2:$A$500,0)),0)</f>
        <v>0</v>
      </c>
      <c r="M27" s="72">
        <v>0</v>
      </c>
      <c r="N27" s="101">
        <f t="shared" si="3"/>
        <v>0</v>
      </c>
      <c r="O27" s="102">
        <f>IFERROR(INDEX(Logs!$H$2:$H$500,MATCH('Beneficiaries (15)'!$B27,Logs!$A$2:$A$500,0)),)</f>
        <v>0</v>
      </c>
      <c r="P27" s="103">
        <f t="shared" si="2"/>
        <v>0</v>
      </c>
      <c r="Q27" s="95"/>
    </row>
    <row r="28" spans="1:18" x14ac:dyDescent="0.2">
      <c r="A28" s="100" t="str">
        <f t="shared" si="1"/>
        <v/>
      </c>
      <c r="B28" s="72">
        <v>299</v>
      </c>
      <c r="C28" s="110" t="str">
        <f>IFERROR(INDEX(Logs!$B$2:$B$500,MATCH('Beneficiaries (15)'!$B28,Logs!$A$2:$A$500,0)),"")</f>
        <v/>
      </c>
      <c r="D28" s="107" t="str">
        <f>IFERROR(INDEX(Logs!$C$2:$C$500,MATCH('Beneficiaries (15)'!$B28,Logs!$A$2:$A$500,0)),"")</f>
        <v/>
      </c>
      <c r="E28" s="108" t="str">
        <f>IFERROR(INDEX(Logs!$D$2:$D$500,MATCH('Beneficiaries (15)'!$B28,Logs!$A$2:$A$500,0)),"")</f>
        <v/>
      </c>
      <c r="F28" s="73" t="s">
        <v>761</v>
      </c>
      <c r="G28" s="101" t="str">
        <f t="shared" si="0"/>
        <v/>
      </c>
      <c r="H28" s="72" t="s">
        <v>761</v>
      </c>
      <c r="I28" s="72" t="s">
        <v>762</v>
      </c>
      <c r="J28" s="111" t="str">
        <f>IFERROR(INDEX(Logs!$E$2:$E$500,MATCH('Beneficiaries (15)'!$B28,Logs!$A$2:$A$500,0)),"")</f>
        <v/>
      </c>
      <c r="K28" s="111" t="str">
        <f>IFERROR(INDEX(Logs!$F$2:$F$500,MATCH('Beneficiaries (15)'!$B28,Logs!$A$2:$A$500,0)),"")</f>
        <v/>
      </c>
      <c r="L28" s="111">
        <f>IFERROR(INDEX(Logs!$G$2:$G$500,MATCH('Beneficiaries (15)'!$B28,Logs!$A$2:$A$500,0)),0)</f>
        <v>0</v>
      </c>
      <c r="M28" s="72">
        <v>0</v>
      </c>
      <c r="N28" s="101">
        <f t="shared" si="3"/>
        <v>0</v>
      </c>
      <c r="O28" s="102">
        <f>IFERROR(INDEX(Logs!$H$2:$H$500,MATCH('Beneficiaries (15)'!$B28,Logs!$A$2:$A$500,0)),)</f>
        <v>0</v>
      </c>
      <c r="P28" s="103">
        <f t="shared" si="2"/>
        <v>0</v>
      </c>
      <c r="Q28" s="95"/>
    </row>
    <row r="29" spans="1:18" x14ac:dyDescent="0.2">
      <c r="A29" s="100" t="str">
        <f t="shared" si="1"/>
        <v/>
      </c>
      <c r="B29" s="72">
        <v>300</v>
      </c>
      <c r="C29" s="110" t="str">
        <f>IFERROR(INDEX(Logs!$B$2:$B$500,MATCH('Beneficiaries (15)'!$B29,Logs!$A$2:$A$500,0)),"")</f>
        <v/>
      </c>
      <c r="D29" s="110" t="str">
        <f>IFERROR(INDEX(Logs!$C$2:$C$500,MATCH('Beneficiaries (15)'!$B29,Logs!$A$2:$A$500,0)),"")</f>
        <v/>
      </c>
      <c r="E29" s="108" t="str">
        <f>IFERROR(INDEX(Logs!$D$2:$D$500,MATCH('Beneficiaries (15)'!$B29,Logs!$A$2:$A$500,0)),"")</f>
        <v/>
      </c>
      <c r="F29" s="73" t="s">
        <v>761</v>
      </c>
      <c r="G29" s="101" t="str">
        <f t="shared" si="0"/>
        <v/>
      </c>
      <c r="H29" s="72" t="s">
        <v>761</v>
      </c>
      <c r="I29" s="72" t="s">
        <v>762</v>
      </c>
      <c r="J29" s="111" t="str">
        <f>IFERROR(INDEX(Logs!$E$2:$E$500,MATCH('Beneficiaries (15)'!$B29,Logs!$A$2:$A$500,0)),"")</f>
        <v/>
      </c>
      <c r="K29" s="111" t="str">
        <f>IFERROR(INDEX(Logs!$F$2:$F$500,MATCH('Beneficiaries (15)'!$B29,Logs!$A$2:$A$500,0)),"")</f>
        <v/>
      </c>
      <c r="L29" s="111">
        <f>IFERROR(INDEX(Logs!$G$2:$G$500,MATCH('Beneficiaries (15)'!$B29,Logs!$A$2:$A$500,0)),0)</f>
        <v>0</v>
      </c>
      <c r="M29" s="72">
        <v>0</v>
      </c>
      <c r="N29" s="101">
        <f t="shared" si="3"/>
        <v>0</v>
      </c>
      <c r="O29" s="102">
        <f>IFERROR(INDEX(Logs!$H$2:$H$500,MATCH('Beneficiaries (15)'!$B29,Logs!$A$2:$A$500,0)),)</f>
        <v>0</v>
      </c>
      <c r="P29" s="103">
        <f t="shared" si="2"/>
        <v>0</v>
      </c>
      <c r="Q29" s="95"/>
    </row>
    <row r="30" spans="1:18" x14ac:dyDescent="0.2"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104">
        <f>SUM(L10:L29)</f>
        <v>0</v>
      </c>
      <c r="M30" s="104">
        <f>SUM(M10:M29)</f>
        <v>0</v>
      </c>
      <c r="N30" s="104">
        <f>SUM(N10:N29)</f>
        <v>0</v>
      </c>
      <c r="O30" s="105">
        <f>SUM(O10:O29)</f>
        <v>0</v>
      </c>
      <c r="P30" s="106">
        <f>SUM(P10:P29)</f>
        <v>0</v>
      </c>
      <c r="Q30" s="97"/>
    </row>
    <row r="31" spans="1:18" ht="27" customHeight="1" x14ac:dyDescent="0.2">
      <c r="B31" s="217" t="s">
        <v>98</v>
      </c>
      <c r="C31" s="217"/>
      <c r="D31" s="98" t="s">
        <v>97</v>
      </c>
      <c r="E31" s="218" t="str">
        <f>Project!$G$30</f>
        <v>Benjamin Milandou-Loubeka</v>
      </c>
      <c r="F31" s="218"/>
      <c r="G31" s="218"/>
      <c r="H31" s="219" t="s">
        <v>101</v>
      </c>
      <c r="I31" s="220"/>
      <c r="J31" s="220"/>
      <c r="K31" s="220"/>
      <c r="L31" s="220"/>
      <c r="M31" s="220"/>
      <c r="N31" s="220"/>
      <c r="O31" s="220"/>
      <c r="P31" s="220"/>
      <c r="Q31" s="87"/>
    </row>
    <row r="32" spans="1:18" ht="27" customHeight="1" x14ac:dyDescent="0.2">
      <c r="B32" s="217"/>
      <c r="C32" s="217"/>
      <c r="D32" s="98" t="s">
        <v>100</v>
      </c>
      <c r="E32" s="221">
        <f>Project!$AN$1</f>
        <v>45199</v>
      </c>
      <c r="F32" s="221"/>
      <c r="G32" s="221"/>
      <c r="H32" s="219"/>
      <c r="I32" s="220"/>
      <c r="J32" s="220"/>
      <c r="K32" s="220"/>
      <c r="L32" s="220"/>
      <c r="M32" s="220"/>
      <c r="N32" s="220"/>
      <c r="O32" s="220"/>
      <c r="P32" s="220"/>
      <c r="Q32" s="87"/>
    </row>
    <row r="33" spans="2:17" ht="14.25" customHeight="1" x14ac:dyDescent="0.2">
      <c r="B33" s="88"/>
      <c r="C33" s="88"/>
      <c r="D33" s="99"/>
      <c r="E33" s="87"/>
      <c r="F33" s="87"/>
      <c r="G33" s="87"/>
      <c r="H33" s="81"/>
      <c r="I33" s="87"/>
      <c r="J33" s="87"/>
      <c r="K33" s="87"/>
      <c r="L33" s="87"/>
      <c r="M33" s="87"/>
      <c r="N33" s="87"/>
      <c r="O33" s="87"/>
      <c r="P33" s="87"/>
      <c r="Q33" s="87"/>
    </row>
    <row r="34" spans="2:17" ht="27" customHeight="1" x14ac:dyDescent="0.2">
      <c r="B34" s="217" t="s">
        <v>99</v>
      </c>
      <c r="C34" s="217"/>
      <c r="D34" s="98" t="s">
        <v>97</v>
      </c>
      <c r="E34" s="220"/>
      <c r="F34" s="220"/>
      <c r="G34" s="220"/>
      <c r="H34" s="219" t="s">
        <v>101</v>
      </c>
      <c r="I34" s="220"/>
      <c r="J34" s="220"/>
      <c r="K34" s="220"/>
      <c r="L34" s="220"/>
      <c r="M34" s="220"/>
      <c r="N34" s="220"/>
      <c r="O34" s="220"/>
      <c r="P34" s="220"/>
      <c r="Q34" s="87"/>
    </row>
    <row r="35" spans="2:17" ht="27" customHeight="1" x14ac:dyDescent="0.2">
      <c r="B35" s="217"/>
      <c r="C35" s="217"/>
      <c r="D35" s="98" t="s">
        <v>100</v>
      </c>
      <c r="E35" s="220"/>
      <c r="F35" s="220"/>
      <c r="G35" s="220"/>
      <c r="H35" s="219"/>
      <c r="I35" s="220"/>
      <c r="J35" s="220"/>
      <c r="K35" s="220"/>
      <c r="L35" s="220"/>
      <c r="M35" s="220"/>
      <c r="N35" s="220"/>
      <c r="O35" s="220"/>
      <c r="P35" s="220"/>
      <c r="Q35" s="87"/>
    </row>
    <row r="74" spans="2:2" x14ac:dyDescent="0.2">
      <c r="B74" s="87"/>
    </row>
  </sheetData>
  <sheetProtection algorithmName="SHA-512" hashValue="/cHaElbcDGLU7cuRC4B9E4Nhzveum62BcHINP/32BnuiPeNI2UgQgFAE3Lp5OB9qpVEz8JM0MkUJvJlRCJjIjA==" saltValue="YlROzXUSgxN41REXaZbMZg==" spinCount="100000" sheet="1" selectLockedCells="1"/>
  <mergeCells count="14">
    <mergeCell ref="B3:P3"/>
    <mergeCell ref="B5:C6"/>
    <mergeCell ref="D5:E6"/>
    <mergeCell ref="K5:M5"/>
    <mergeCell ref="B31:C32"/>
    <mergeCell ref="E31:G31"/>
    <mergeCell ref="H31:H32"/>
    <mergeCell ref="I31:P32"/>
    <mergeCell ref="E32:G32"/>
    <mergeCell ref="B34:C35"/>
    <mergeCell ref="E34:G34"/>
    <mergeCell ref="H34:H35"/>
    <mergeCell ref="I34:P35"/>
    <mergeCell ref="E35:G35"/>
  </mergeCells>
  <conditionalFormatting sqref="C10:C21">
    <cfRule type="uniqueValues" dxfId="8" priority="9"/>
  </conditionalFormatting>
  <conditionalFormatting sqref="D10:D20">
    <cfRule type="uniqueValues" dxfId="7" priority="8"/>
  </conditionalFormatting>
  <conditionalFormatting sqref="D21:D28">
    <cfRule type="uniqueValues" dxfId="6" priority="7"/>
  </conditionalFormatting>
  <conditionalFormatting sqref="F10:F29">
    <cfRule type="expression" dxfId="5" priority="6">
      <formula>$C10=""</formula>
    </cfRule>
  </conditionalFormatting>
  <conditionalFormatting sqref="H10:I29">
    <cfRule type="expression" dxfId="4" priority="5">
      <formula>$C10=""</formula>
    </cfRule>
  </conditionalFormatting>
  <conditionalFormatting sqref="B10:B29">
    <cfRule type="expression" dxfId="3" priority="4">
      <formula>$C10=""</formula>
    </cfRule>
  </conditionalFormatting>
  <conditionalFormatting sqref="L10:L29">
    <cfRule type="cellIs" dxfId="2" priority="3" operator="equal">
      <formula>0</formula>
    </cfRule>
  </conditionalFormatting>
  <conditionalFormatting sqref="M10:N29">
    <cfRule type="expression" dxfId="1" priority="2">
      <formula>$C10=""</formula>
    </cfRule>
  </conditionalFormatting>
  <conditionalFormatting sqref="O10:P29">
    <cfRule type="expression" dxfId="0" priority="1">
      <formula>$C10=""</formula>
    </cfRule>
  </conditionalFormatting>
  <dataValidations count="1">
    <dataValidation allowBlank="1" showInputMessage="1" showErrorMessage="1" promptTitle="Month" sqref="I6" xr:uid="{CD2A99EF-6D25-4ED6-ABD4-B80BF47573A5}"/>
  </dataValidations>
  <pageMargins left="0.23622047244094491" right="0.23622047244094491" top="0.74803149606299213" bottom="0.74803149606299213" header="0.31496062992125984" footer="0.31496062992125984"/>
  <pageSetup paperSize="9" scale="86" fitToHeight="0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6A58A-3D8F-4AB9-9E9D-AAF362C3B406}">
  <dimension ref="A1:J274"/>
  <sheetViews>
    <sheetView workbookViewId="0">
      <selection activeCell="J15" sqref="J15"/>
    </sheetView>
  </sheetViews>
  <sheetFormatPr defaultRowHeight="12.75" x14ac:dyDescent="0.2"/>
  <cols>
    <col min="1" max="1" width="5.7109375" bestFit="1" customWidth="1"/>
    <col min="2" max="2" width="14.140625" bestFit="1" customWidth="1"/>
    <col min="3" max="3" width="16.5703125" bestFit="1" customWidth="1"/>
    <col min="4" max="4" width="12.85546875" bestFit="1" customWidth="1"/>
    <col min="5" max="5" width="18.5703125" bestFit="1" customWidth="1"/>
    <col min="6" max="6" width="17.7109375" bestFit="1" customWidth="1"/>
    <col min="7" max="7" width="15.140625" bestFit="1" customWidth="1"/>
    <col min="8" max="8" width="15" bestFit="1" customWidth="1"/>
    <col min="9" max="9" width="22.42578125" bestFit="1" customWidth="1"/>
    <col min="10" max="10" width="18" bestFit="1" customWidth="1"/>
  </cols>
  <sheetData>
    <row r="1" spans="1:10" x14ac:dyDescent="0.2">
      <c r="A1" t="s">
        <v>129</v>
      </c>
      <c r="B1" t="s">
        <v>97</v>
      </c>
      <c r="C1" t="s">
        <v>31</v>
      </c>
      <c r="D1" t="s">
        <v>130</v>
      </c>
      <c r="E1" t="s">
        <v>131</v>
      </c>
      <c r="F1" t="s">
        <v>132</v>
      </c>
      <c r="G1" t="s">
        <v>133</v>
      </c>
      <c r="H1" t="s">
        <v>134</v>
      </c>
      <c r="I1" t="s">
        <v>135</v>
      </c>
      <c r="J1" t="s">
        <v>136</v>
      </c>
    </row>
    <row r="2" spans="1:10" x14ac:dyDescent="0.2">
      <c r="A2">
        <v>1</v>
      </c>
      <c r="B2" t="s">
        <v>137</v>
      </c>
      <c r="C2" t="s">
        <v>138</v>
      </c>
      <c r="D2" t="s">
        <v>763</v>
      </c>
      <c r="E2" t="s">
        <v>139</v>
      </c>
      <c r="F2" t="s">
        <v>140</v>
      </c>
      <c r="G2">
        <v>16</v>
      </c>
      <c r="H2" s="75">
        <v>204.16</v>
      </c>
      <c r="I2" t="s">
        <v>141</v>
      </c>
      <c r="J2" t="s">
        <v>142</v>
      </c>
    </row>
    <row r="3" spans="1:10" x14ac:dyDescent="0.2">
      <c r="A3">
        <v>2</v>
      </c>
      <c r="B3" t="s">
        <v>143</v>
      </c>
      <c r="C3" t="s">
        <v>144</v>
      </c>
      <c r="D3" t="s">
        <v>764</v>
      </c>
      <c r="E3" t="s">
        <v>139</v>
      </c>
      <c r="F3" t="s">
        <v>140</v>
      </c>
      <c r="G3">
        <v>16</v>
      </c>
      <c r="H3" s="75">
        <v>204.16</v>
      </c>
      <c r="I3" t="s">
        <v>141</v>
      </c>
      <c r="J3" t="s">
        <v>142</v>
      </c>
    </row>
    <row r="4" spans="1:10" x14ac:dyDescent="0.2">
      <c r="A4">
        <v>3</v>
      </c>
      <c r="B4" t="s">
        <v>145</v>
      </c>
      <c r="C4" t="s">
        <v>146</v>
      </c>
      <c r="D4" t="s">
        <v>765</v>
      </c>
      <c r="E4" t="s">
        <v>139</v>
      </c>
      <c r="F4" t="s">
        <v>140</v>
      </c>
      <c r="G4">
        <v>16</v>
      </c>
      <c r="H4" s="75">
        <v>204.16</v>
      </c>
      <c r="I4" t="s">
        <v>141</v>
      </c>
      <c r="J4" t="s">
        <v>142</v>
      </c>
    </row>
    <row r="5" spans="1:10" x14ac:dyDescent="0.2">
      <c r="A5">
        <v>4</v>
      </c>
      <c r="B5" t="s">
        <v>147</v>
      </c>
      <c r="C5" t="s">
        <v>138</v>
      </c>
      <c r="D5" t="s">
        <v>766</v>
      </c>
      <c r="E5" t="s">
        <v>139</v>
      </c>
      <c r="F5" t="s">
        <v>140</v>
      </c>
      <c r="G5">
        <v>16</v>
      </c>
      <c r="H5" s="75">
        <v>204.16</v>
      </c>
      <c r="I5" t="s">
        <v>141</v>
      </c>
      <c r="J5" t="s">
        <v>142</v>
      </c>
    </row>
    <row r="6" spans="1:10" x14ac:dyDescent="0.2">
      <c r="A6">
        <v>5</v>
      </c>
      <c r="B6" t="s">
        <v>148</v>
      </c>
      <c r="C6" t="s">
        <v>149</v>
      </c>
      <c r="D6" t="s">
        <v>767</v>
      </c>
      <c r="E6" t="s">
        <v>139</v>
      </c>
      <c r="F6" t="s">
        <v>140</v>
      </c>
      <c r="G6">
        <v>16</v>
      </c>
      <c r="H6" s="75">
        <v>204.16</v>
      </c>
      <c r="I6" t="s">
        <v>141</v>
      </c>
      <c r="J6" t="s">
        <v>142</v>
      </c>
    </row>
    <row r="7" spans="1:10" x14ac:dyDescent="0.2">
      <c r="A7">
        <v>6</v>
      </c>
      <c r="B7" t="s">
        <v>150</v>
      </c>
      <c r="C7" t="s">
        <v>151</v>
      </c>
      <c r="D7" t="s">
        <v>768</v>
      </c>
      <c r="E7" t="s">
        <v>139</v>
      </c>
      <c r="F7" t="s">
        <v>140</v>
      </c>
      <c r="G7">
        <v>17</v>
      </c>
      <c r="H7" s="75">
        <v>204.16</v>
      </c>
      <c r="I7" t="s">
        <v>152</v>
      </c>
      <c r="J7" t="s">
        <v>142</v>
      </c>
    </row>
    <row r="8" spans="1:10" x14ac:dyDescent="0.2">
      <c r="A8">
        <v>7</v>
      </c>
      <c r="B8" t="s">
        <v>153</v>
      </c>
      <c r="C8" t="s">
        <v>154</v>
      </c>
      <c r="D8" t="s">
        <v>769</v>
      </c>
      <c r="E8" t="s">
        <v>139</v>
      </c>
      <c r="F8" t="s">
        <v>140</v>
      </c>
      <c r="G8">
        <v>17</v>
      </c>
      <c r="H8" s="75">
        <v>204.16</v>
      </c>
      <c r="I8" t="s">
        <v>152</v>
      </c>
      <c r="J8" t="s">
        <v>142</v>
      </c>
    </row>
    <row r="9" spans="1:10" x14ac:dyDescent="0.2">
      <c r="A9">
        <v>8</v>
      </c>
      <c r="B9" t="s">
        <v>155</v>
      </c>
      <c r="C9" t="s">
        <v>156</v>
      </c>
      <c r="D9" t="s">
        <v>770</v>
      </c>
      <c r="E9" t="s">
        <v>139</v>
      </c>
      <c r="F9" t="s">
        <v>157</v>
      </c>
      <c r="G9">
        <v>16</v>
      </c>
      <c r="H9" s="75">
        <v>218.08</v>
      </c>
      <c r="I9" t="s">
        <v>158</v>
      </c>
      <c r="J9" t="s">
        <v>159</v>
      </c>
    </row>
    <row r="10" spans="1:10" x14ac:dyDescent="0.2">
      <c r="A10">
        <v>9</v>
      </c>
      <c r="B10" t="s">
        <v>160</v>
      </c>
      <c r="C10" t="s">
        <v>161</v>
      </c>
      <c r="D10" t="s">
        <v>771</v>
      </c>
      <c r="E10" t="s">
        <v>139</v>
      </c>
      <c r="F10" t="s">
        <v>157</v>
      </c>
      <c r="G10">
        <v>16</v>
      </c>
      <c r="H10" s="75">
        <v>218.08</v>
      </c>
      <c r="I10" t="s">
        <v>158</v>
      </c>
      <c r="J10" t="s">
        <v>159</v>
      </c>
    </row>
    <row r="11" spans="1:10" x14ac:dyDescent="0.2">
      <c r="A11">
        <v>10</v>
      </c>
      <c r="B11" t="s">
        <v>162</v>
      </c>
      <c r="C11" t="s">
        <v>163</v>
      </c>
      <c r="D11" t="s">
        <v>772</v>
      </c>
      <c r="E11" t="s">
        <v>139</v>
      </c>
      <c r="F11" t="s">
        <v>164</v>
      </c>
      <c r="G11">
        <v>20</v>
      </c>
      <c r="H11" s="75">
        <v>0</v>
      </c>
      <c r="I11" t="s">
        <v>165</v>
      </c>
      <c r="J11" t="s">
        <v>166</v>
      </c>
    </row>
    <row r="12" spans="1:10" x14ac:dyDescent="0.2">
      <c r="A12">
        <v>11</v>
      </c>
      <c r="B12" t="s">
        <v>167</v>
      </c>
      <c r="C12" t="s">
        <v>168</v>
      </c>
      <c r="D12" t="s">
        <v>773</v>
      </c>
      <c r="E12" t="s">
        <v>139</v>
      </c>
      <c r="F12" t="s">
        <v>164</v>
      </c>
      <c r="G12">
        <v>20</v>
      </c>
      <c r="H12" s="75">
        <v>0</v>
      </c>
      <c r="I12" t="s">
        <v>165</v>
      </c>
      <c r="J12" t="s">
        <v>166</v>
      </c>
    </row>
    <row r="13" spans="1:10" x14ac:dyDescent="0.2">
      <c r="A13">
        <v>12</v>
      </c>
      <c r="B13" t="s">
        <v>169</v>
      </c>
      <c r="C13" t="s">
        <v>170</v>
      </c>
      <c r="D13" t="s">
        <v>774</v>
      </c>
      <c r="E13" t="s">
        <v>171</v>
      </c>
      <c r="F13" t="s">
        <v>164</v>
      </c>
      <c r="G13">
        <v>20</v>
      </c>
      <c r="H13" s="75">
        <v>0</v>
      </c>
      <c r="I13" t="s">
        <v>165</v>
      </c>
      <c r="J13" t="s">
        <v>166</v>
      </c>
    </row>
    <row r="14" spans="1:10" x14ac:dyDescent="0.2">
      <c r="A14">
        <v>13</v>
      </c>
      <c r="B14" t="s">
        <v>172</v>
      </c>
      <c r="C14" t="s">
        <v>173</v>
      </c>
      <c r="D14" t="s">
        <v>775</v>
      </c>
      <c r="E14" t="s">
        <v>174</v>
      </c>
      <c r="F14" t="s">
        <v>140</v>
      </c>
      <c r="G14">
        <v>26</v>
      </c>
      <c r="H14" s="75">
        <v>204.16</v>
      </c>
      <c r="I14" t="s">
        <v>175</v>
      </c>
      <c r="J14" t="s">
        <v>142</v>
      </c>
    </row>
    <row r="15" spans="1:10" x14ac:dyDescent="0.2">
      <c r="A15">
        <v>14</v>
      </c>
      <c r="B15" t="s">
        <v>176</v>
      </c>
      <c r="C15" t="s">
        <v>177</v>
      </c>
      <c r="D15" t="s">
        <v>776</v>
      </c>
      <c r="E15" t="s">
        <v>178</v>
      </c>
      <c r="F15" t="s">
        <v>140</v>
      </c>
      <c r="G15">
        <v>18</v>
      </c>
      <c r="H15" s="75">
        <v>204.16</v>
      </c>
      <c r="I15" t="s">
        <v>175</v>
      </c>
      <c r="J15" t="s">
        <v>142</v>
      </c>
    </row>
    <row r="16" spans="1:10" x14ac:dyDescent="0.2">
      <c r="A16">
        <v>15</v>
      </c>
      <c r="B16" t="s">
        <v>179</v>
      </c>
      <c r="C16" t="s">
        <v>180</v>
      </c>
      <c r="D16" t="s">
        <v>777</v>
      </c>
      <c r="E16" t="s">
        <v>174</v>
      </c>
      <c r="F16" t="s">
        <v>140</v>
      </c>
      <c r="G16">
        <v>18</v>
      </c>
      <c r="H16" s="75">
        <v>204.16</v>
      </c>
      <c r="I16" t="s">
        <v>175</v>
      </c>
      <c r="J16" t="s">
        <v>142</v>
      </c>
    </row>
    <row r="17" spans="1:10" x14ac:dyDescent="0.2">
      <c r="A17">
        <v>16</v>
      </c>
      <c r="B17" t="s">
        <v>181</v>
      </c>
      <c r="C17" t="s">
        <v>182</v>
      </c>
      <c r="D17" t="s">
        <v>778</v>
      </c>
      <c r="E17" t="s">
        <v>174</v>
      </c>
      <c r="F17" t="s">
        <v>140</v>
      </c>
      <c r="G17">
        <v>26</v>
      </c>
      <c r="H17" s="75">
        <v>204.16</v>
      </c>
      <c r="I17" t="s">
        <v>175</v>
      </c>
      <c r="J17" t="s">
        <v>142</v>
      </c>
    </row>
    <row r="18" spans="1:10" x14ac:dyDescent="0.2">
      <c r="A18">
        <v>17</v>
      </c>
      <c r="B18" t="s">
        <v>183</v>
      </c>
      <c r="C18" t="s">
        <v>184</v>
      </c>
      <c r="D18" t="s">
        <v>779</v>
      </c>
      <c r="E18" t="s">
        <v>174</v>
      </c>
      <c r="F18" t="s">
        <v>140</v>
      </c>
      <c r="G18">
        <v>26</v>
      </c>
      <c r="H18" s="75">
        <v>218.08</v>
      </c>
      <c r="I18" t="s">
        <v>175</v>
      </c>
      <c r="J18" t="s">
        <v>159</v>
      </c>
    </row>
    <row r="19" spans="1:10" x14ac:dyDescent="0.2">
      <c r="A19">
        <v>18</v>
      </c>
      <c r="B19" t="s">
        <v>185</v>
      </c>
      <c r="C19" t="s">
        <v>186</v>
      </c>
      <c r="D19" t="s">
        <v>780</v>
      </c>
      <c r="E19" t="s">
        <v>174</v>
      </c>
      <c r="F19" t="s">
        <v>140</v>
      </c>
      <c r="G19">
        <v>26</v>
      </c>
      <c r="H19" s="75">
        <v>204.16</v>
      </c>
      <c r="I19" t="s">
        <v>175</v>
      </c>
      <c r="J19" t="s">
        <v>142</v>
      </c>
    </row>
    <row r="20" spans="1:10" x14ac:dyDescent="0.2">
      <c r="A20">
        <v>19</v>
      </c>
      <c r="B20" t="s">
        <v>187</v>
      </c>
      <c r="C20" t="s">
        <v>188</v>
      </c>
      <c r="D20" t="s">
        <v>781</v>
      </c>
      <c r="E20" t="s">
        <v>174</v>
      </c>
      <c r="F20" t="s">
        <v>140</v>
      </c>
      <c r="G20">
        <v>26</v>
      </c>
      <c r="H20" s="75">
        <v>204.16</v>
      </c>
      <c r="I20" t="s">
        <v>175</v>
      </c>
      <c r="J20" t="s">
        <v>142</v>
      </c>
    </row>
    <row r="21" spans="1:10" x14ac:dyDescent="0.2">
      <c r="A21">
        <v>20</v>
      </c>
      <c r="B21" t="s">
        <v>189</v>
      </c>
      <c r="C21" t="s">
        <v>190</v>
      </c>
      <c r="D21" t="s">
        <v>782</v>
      </c>
      <c r="E21" t="s">
        <v>174</v>
      </c>
      <c r="F21" t="s">
        <v>140</v>
      </c>
      <c r="G21">
        <v>26</v>
      </c>
      <c r="H21" s="75">
        <v>204.16</v>
      </c>
      <c r="I21" t="s">
        <v>175</v>
      </c>
      <c r="J21" t="s">
        <v>142</v>
      </c>
    </row>
    <row r="22" spans="1:10" x14ac:dyDescent="0.2">
      <c r="A22">
        <v>21</v>
      </c>
      <c r="B22" t="s">
        <v>191</v>
      </c>
      <c r="C22" t="s">
        <v>192</v>
      </c>
      <c r="D22" t="s">
        <v>783</v>
      </c>
      <c r="E22" t="s">
        <v>174</v>
      </c>
      <c r="F22" t="s">
        <v>140</v>
      </c>
      <c r="G22">
        <v>26</v>
      </c>
      <c r="H22" s="75">
        <v>204.16</v>
      </c>
      <c r="I22" t="s">
        <v>175</v>
      </c>
      <c r="J22" t="s">
        <v>142</v>
      </c>
    </row>
    <row r="23" spans="1:10" x14ac:dyDescent="0.2">
      <c r="A23">
        <v>22</v>
      </c>
      <c r="B23" t="s">
        <v>193</v>
      </c>
      <c r="C23" t="s">
        <v>194</v>
      </c>
      <c r="D23" t="s">
        <v>784</v>
      </c>
      <c r="E23" t="s">
        <v>195</v>
      </c>
      <c r="F23" t="s">
        <v>157</v>
      </c>
      <c r="G23">
        <v>17</v>
      </c>
      <c r="H23" s="75">
        <v>218.08</v>
      </c>
      <c r="I23" t="s">
        <v>196</v>
      </c>
      <c r="J23" t="s">
        <v>159</v>
      </c>
    </row>
    <row r="24" spans="1:10" x14ac:dyDescent="0.2">
      <c r="A24">
        <v>23</v>
      </c>
      <c r="B24" t="s">
        <v>155</v>
      </c>
      <c r="C24" t="s">
        <v>197</v>
      </c>
      <c r="D24" t="s">
        <v>785</v>
      </c>
      <c r="E24" t="s">
        <v>198</v>
      </c>
      <c r="F24" t="s">
        <v>140</v>
      </c>
      <c r="G24">
        <v>21</v>
      </c>
      <c r="H24" s="75">
        <v>204.16</v>
      </c>
      <c r="I24" t="s">
        <v>199</v>
      </c>
      <c r="J24" t="s">
        <v>142</v>
      </c>
    </row>
    <row r="25" spans="1:10" x14ac:dyDescent="0.2">
      <c r="A25">
        <v>24</v>
      </c>
      <c r="B25" t="s">
        <v>200</v>
      </c>
      <c r="C25" t="s">
        <v>201</v>
      </c>
      <c r="D25" t="s">
        <v>786</v>
      </c>
      <c r="E25" t="s">
        <v>202</v>
      </c>
      <c r="F25" t="s">
        <v>140</v>
      </c>
      <c r="G25">
        <v>26</v>
      </c>
      <c r="H25" s="75">
        <v>204.16</v>
      </c>
      <c r="I25" t="s">
        <v>175</v>
      </c>
      <c r="J25" t="s">
        <v>142</v>
      </c>
    </row>
    <row r="26" spans="1:10" x14ac:dyDescent="0.2">
      <c r="A26">
        <v>25</v>
      </c>
      <c r="B26" t="s">
        <v>203</v>
      </c>
      <c r="C26" t="s">
        <v>204</v>
      </c>
      <c r="D26" t="s">
        <v>787</v>
      </c>
      <c r="E26" t="s">
        <v>205</v>
      </c>
      <c r="F26" t="s">
        <v>140</v>
      </c>
      <c r="G26">
        <v>22</v>
      </c>
      <c r="H26" s="75">
        <v>204.16</v>
      </c>
      <c r="I26" t="s">
        <v>206</v>
      </c>
      <c r="J26" t="s">
        <v>142</v>
      </c>
    </row>
    <row r="27" spans="1:10" x14ac:dyDescent="0.2">
      <c r="A27">
        <v>26</v>
      </c>
      <c r="B27" t="s">
        <v>207</v>
      </c>
      <c r="C27" t="s">
        <v>208</v>
      </c>
      <c r="D27" t="s">
        <v>788</v>
      </c>
      <c r="E27" t="s">
        <v>205</v>
      </c>
      <c r="F27" t="s">
        <v>140</v>
      </c>
      <c r="G27">
        <v>22</v>
      </c>
      <c r="H27" s="75">
        <v>204.16</v>
      </c>
      <c r="I27" t="s">
        <v>206</v>
      </c>
      <c r="J27" t="s">
        <v>142</v>
      </c>
    </row>
    <row r="28" spans="1:10" x14ac:dyDescent="0.2">
      <c r="A28">
        <v>27</v>
      </c>
      <c r="B28" t="s">
        <v>209</v>
      </c>
      <c r="C28" t="s">
        <v>210</v>
      </c>
      <c r="D28" t="s">
        <v>789</v>
      </c>
      <c r="E28" t="s">
        <v>211</v>
      </c>
      <c r="F28" t="s">
        <v>140</v>
      </c>
      <c r="G28">
        <v>26</v>
      </c>
      <c r="H28" s="75">
        <v>204.16</v>
      </c>
      <c r="I28" t="s">
        <v>175</v>
      </c>
      <c r="J28" t="s">
        <v>142</v>
      </c>
    </row>
    <row r="29" spans="1:10" x14ac:dyDescent="0.2">
      <c r="A29">
        <v>28</v>
      </c>
      <c r="B29" t="s">
        <v>187</v>
      </c>
      <c r="C29" t="s">
        <v>212</v>
      </c>
      <c r="D29" t="s">
        <v>790</v>
      </c>
      <c r="E29" t="s">
        <v>211</v>
      </c>
      <c r="F29" t="s">
        <v>140</v>
      </c>
      <c r="G29">
        <v>26</v>
      </c>
      <c r="H29" s="75">
        <v>204.16</v>
      </c>
      <c r="I29" t="s">
        <v>175</v>
      </c>
      <c r="J29" t="s">
        <v>142</v>
      </c>
    </row>
    <row r="30" spans="1:10" x14ac:dyDescent="0.2">
      <c r="A30">
        <v>29</v>
      </c>
      <c r="B30" t="s">
        <v>213</v>
      </c>
      <c r="C30" t="s">
        <v>214</v>
      </c>
      <c r="D30" t="s">
        <v>791</v>
      </c>
      <c r="E30" t="s">
        <v>215</v>
      </c>
      <c r="F30" t="s">
        <v>140</v>
      </c>
      <c r="G30">
        <v>18</v>
      </c>
      <c r="H30" s="75">
        <v>204.16</v>
      </c>
      <c r="I30" t="s">
        <v>175</v>
      </c>
      <c r="J30" t="s">
        <v>142</v>
      </c>
    </row>
    <row r="31" spans="1:10" x14ac:dyDescent="0.2">
      <c r="A31">
        <v>30</v>
      </c>
      <c r="B31" t="s">
        <v>216</v>
      </c>
      <c r="C31" t="s">
        <v>217</v>
      </c>
      <c r="D31" t="s">
        <v>792</v>
      </c>
      <c r="E31" t="s">
        <v>218</v>
      </c>
      <c r="F31" t="s">
        <v>140</v>
      </c>
      <c r="G31">
        <v>22</v>
      </c>
      <c r="H31" s="75">
        <v>204.16</v>
      </c>
      <c r="I31" t="s">
        <v>219</v>
      </c>
      <c r="J31" t="s">
        <v>142</v>
      </c>
    </row>
    <row r="32" spans="1:10" x14ac:dyDescent="0.2">
      <c r="A32">
        <v>31</v>
      </c>
      <c r="B32" t="s">
        <v>220</v>
      </c>
      <c r="C32" t="s">
        <v>221</v>
      </c>
      <c r="D32" t="s">
        <v>793</v>
      </c>
      <c r="E32" t="s">
        <v>222</v>
      </c>
      <c r="F32" t="s">
        <v>140</v>
      </c>
      <c r="G32">
        <v>22</v>
      </c>
      <c r="H32" s="75">
        <v>204.16</v>
      </c>
      <c r="I32" t="s">
        <v>219</v>
      </c>
      <c r="J32" t="s">
        <v>142</v>
      </c>
    </row>
    <row r="33" spans="1:10" x14ac:dyDescent="0.2">
      <c r="A33">
        <v>32</v>
      </c>
      <c r="B33" t="s">
        <v>223</v>
      </c>
      <c r="C33" t="s">
        <v>224</v>
      </c>
      <c r="D33" t="s">
        <v>794</v>
      </c>
      <c r="E33" t="s">
        <v>225</v>
      </c>
      <c r="F33" t="s">
        <v>140</v>
      </c>
      <c r="G33">
        <v>17</v>
      </c>
      <c r="H33" s="75">
        <v>204.16</v>
      </c>
      <c r="I33" t="s">
        <v>152</v>
      </c>
      <c r="J33" t="s">
        <v>142</v>
      </c>
    </row>
    <row r="34" spans="1:10" x14ac:dyDescent="0.2">
      <c r="A34">
        <v>33</v>
      </c>
      <c r="B34" t="s">
        <v>226</v>
      </c>
      <c r="C34" t="s">
        <v>227</v>
      </c>
      <c r="D34" t="s">
        <v>795</v>
      </c>
      <c r="E34" t="s">
        <v>225</v>
      </c>
      <c r="F34" t="s">
        <v>140</v>
      </c>
      <c r="G34">
        <v>17</v>
      </c>
      <c r="H34" s="75">
        <v>204.16</v>
      </c>
      <c r="I34" t="s">
        <v>152</v>
      </c>
      <c r="J34" t="s">
        <v>142</v>
      </c>
    </row>
    <row r="35" spans="1:10" x14ac:dyDescent="0.2">
      <c r="A35">
        <v>34</v>
      </c>
      <c r="B35" t="s">
        <v>228</v>
      </c>
      <c r="C35" t="s">
        <v>229</v>
      </c>
      <c r="D35" t="s">
        <v>796</v>
      </c>
      <c r="E35" t="s">
        <v>225</v>
      </c>
      <c r="F35" t="s">
        <v>140</v>
      </c>
      <c r="G35">
        <v>22</v>
      </c>
      <c r="H35" s="75">
        <v>204.16</v>
      </c>
      <c r="I35" t="s">
        <v>230</v>
      </c>
      <c r="J35" t="s">
        <v>142</v>
      </c>
    </row>
    <row r="36" spans="1:10" x14ac:dyDescent="0.2">
      <c r="A36">
        <v>35</v>
      </c>
      <c r="B36" t="s">
        <v>231</v>
      </c>
      <c r="C36" t="s">
        <v>232</v>
      </c>
      <c r="D36" t="s">
        <v>797</v>
      </c>
      <c r="E36" t="s">
        <v>225</v>
      </c>
      <c r="F36" t="s">
        <v>140</v>
      </c>
      <c r="G36">
        <v>22</v>
      </c>
      <c r="H36" s="75">
        <v>204.16</v>
      </c>
      <c r="I36" t="s">
        <v>233</v>
      </c>
      <c r="J36" t="s">
        <v>142</v>
      </c>
    </row>
    <row r="37" spans="1:10" x14ac:dyDescent="0.2">
      <c r="A37">
        <v>36</v>
      </c>
      <c r="B37" t="s">
        <v>234</v>
      </c>
      <c r="C37" t="s">
        <v>235</v>
      </c>
      <c r="D37" t="s">
        <v>798</v>
      </c>
      <c r="E37" t="s">
        <v>225</v>
      </c>
      <c r="F37" t="s">
        <v>140</v>
      </c>
      <c r="G37">
        <v>17</v>
      </c>
      <c r="H37" s="75">
        <v>204.16</v>
      </c>
      <c r="I37" t="s">
        <v>236</v>
      </c>
      <c r="J37" t="s">
        <v>142</v>
      </c>
    </row>
    <row r="38" spans="1:10" x14ac:dyDescent="0.2">
      <c r="A38">
        <v>37</v>
      </c>
      <c r="B38" t="s">
        <v>237</v>
      </c>
      <c r="C38" t="s">
        <v>238</v>
      </c>
      <c r="D38" t="s">
        <v>799</v>
      </c>
      <c r="E38" t="s">
        <v>225</v>
      </c>
      <c r="F38" t="s">
        <v>140</v>
      </c>
      <c r="G38">
        <v>17</v>
      </c>
      <c r="H38" s="75">
        <v>204.16</v>
      </c>
      <c r="I38" t="s">
        <v>239</v>
      </c>
      <c r="J38" t="s">
        <v>142</v>
      </c>
    </row>
    <row r="39" spans="1:10" x14ac:dyDescent="0.2">
      <c r="A39">
        <v>38</v>
      </c>
      <c r="B39" t="s">
        <v>240</v>
      </c>
      <c r="C39" t="s">
        <v>241</v>
      </c>
      <c r="D39" t="s">
        <v>800</v>
      </c>
      <c r="E39" t="s">
        <v>225</v>
      </c>
      <c r="F39" t="s">
        <v>140</v>
      </c>
      <c r="G39">
        <v>17</v>
      </c>
      <c r="H39" s="75">
        <v>204.16</v>
      </c>
      <c r="I39" t="s">
        <v>242</v>
      </c>
      <c r="J39" t="s">
        <v>142</v>
      </c>
    </row>
    <row r="40" spans="1:10" x14ac:dyDescent="0.2">
      <c r="A40">
        <v>39</v>
      </c>
      <c r="B40" t="s">
        <v>243</v>
      </c>
      <c r="C40" t="s">
        <v>244</v>
      </c>
      <c r="D40" t="s">
        <v>801</v>
      </c>
      <c r="E40" t="s">
        <v>225</v>
      </c>
      <c r="F40" t="s">
        <v>140</v>
      </c>
      <c r="G40">
        <v>26</v>
      </c>
      <c r="H40" s="75">
        <v>204.16</v>
      </c>
      <c r="I40" t="s">
        <v>175</v>
      </c>
      <c r="J40" t="s">
        <v>142</v>
      </c>
    </row>
    <row r="41" spans="1:10" x14ac:dyDescent="0.2">
      <c r="A41">
        <v>40</v>
      </c>
      <c r="B41" t="s">
        <v>245</v>
      </c>
      <c r="C41" t="s">
        <v>246</v>
      </c>
      <c r="D41" t="s">
        <v>802</v>
      </c>
      <c r="E41" t="s">
        <v>247</v>
      </c>
      <c r="F41" t="s">
        <v>248</v>
      </c>
      <c r="G41">
        <v>17</v>
      </c>
      <c r="H41" s="75">
        <v>204.16</v>
      </c>
      <c r="I41" t="s">
        <v>249</v>
      </c>
      <c r="J41" t="s">
        <v>142</v>
      </c>
    </row>
    <row r="42" spans="1:10" x14ac:dyDescent="0.2">
      <c r="A42">
        <v>41</v>
      </c>
      <c r="B42" t="s">
        <v>250</v>
      </c>
      <c r="C42" t="s">
        <v>251</v>
      </c>
      <c r="D42" t="s">
        <v>803</v>
      </c>
      <c r="E42" t="s">
        <v>247</v>
      </c>
      <c r="F42" t="s">
        <v>248</v>
      </c>
      <c r="G42">
        <v>17</v>
      </c>
      <c r="H42" s="75">
        <v>204.16</v>
      </c>
      <c r="I42" t="s">
        <v>249</v>
      </c>
      <c r="J42" t="s">
        <v>142</v>
      </c>
    </row>
    <row r="43" spans="1:10" x14ac:dyDescent="0.2">
      <c r="A43">
        <v>42</v>
      </c>
      <c r="B43" t="s">
        <v>252</v>
      </c>
      <c r="C43" t="s">
        <v>253</v>
      </c>
      <c r="D43" t="s">
        <v>804</v>
      </c>
      <c r="E43" t="s">
        <v>247</v>
      </c>
      <c r="F43" t="s">
        <v>248</v>
      </c>
      <c r="G43">
        <v>17</v>
      </c>
      <c r="H43" s="75">
        <v>218.08</v>
      </c>
      <c r="I43" t="s">
        <v>249</v>
      </c>
      <c r="J43" t="s">
        <v>159</v>
      </c>
    </row>
    <row r="44" spans="1:10" x14ac:dyDescent="0.2">
      <c r="A44">
        <v>43</v>
      </c>
      <c r="B44" t="s">
        <v>254</v>
      </c>
      <c r="C44" t="s">
        <v>255</v>
      </c>
      <c r="D44" t="s">
        <v>805</v>
      </c>
      <c r="E44" t="s">
        <v>247</v>
      </c>
      <c r="F44" t="s">
        <v>248</v>
      </c>
      <c r="G44">
        <v>17</v>
      </c>
      <c r="H44" s="75">
        <v>204.16</v>
      </c>
      <c r="I44" t="s">
        <v>249</v>
      </c>
      <c r="J44" t="s">
        <v>142</v>
      </c>
    </row>
    <row r="45" spans="1:10" x14ac:dyDescent="0.2">
      <c r="A45">
        <v>44</v>
      </c>
      <c r="B45" t="s">
        <v>256</v>
      </c>
      <c r="C45" t="s">
        <v>257</v>
      </c>
      <c r="D45" t="s">
        <v>806</v>
      </c>
      <c r="E45" t="s">
        <v>247</v>
      </c>
      <c r="F45" t="s">
        <v>248</v>
      </c>
      <c r="G45">
        <v>17</v>
      </c>
      <c r="H45" s="75">
        <v>204.16</v>
      </c>
      <c r="I45" t="s">
        <v>249</v>
      </c>
      <c r="J45" t="s">
        <v>142</v>
      </c>
    </row>
    <row r="46" spans="1:10" x14ac:dyDescent="0.2">
      <c r="A46">
        <v>45</v>
      </c>
      <c r="B46" t="s">
        <v>258</v>
      </c>
      <c r="C46" t="s">
        <v>259</v>
      </c>
      <c r="D46" t="s">
        <v>807</v>
      </c>
      <c r="E46" t="s">
        <v>247</v>
      </c>
      <c r="F46" t="s">
        <v>248</v>
      </c>
      <c r="G46">
        <v>17</v>
      </c>
      <c r="H46" s="75">
        <v>204.16</v>
      </c>
      <c r="I46" t="s">
        <v>249</v>
      </c>
      <c r="J46" t="s">
        <v>142</v>
      </c>
    </row>
    <row r="47" spans="1:10" x14ac:dyDescent="0.2">
      <c r="A47">
        <v>46</v>
      </c>
      <c r="B47" t="s">
        <v>260</v>
      </c>
      <c r="C47" t="s">
        <v>261</v>
      </c>
      <c r="D47" t="s">
        <v>808</v>
      </c>
      <c r="E47" t="s">
        <v>247</v>
      </c>
      <c r="F47" t="s">
        <v>248</v>
      </c>
      <c r="G47">
        <v>17</v>
      </c>
      <c r="H47" s="75">
        <v>204.16</v>
      </c>
      <c r="I47" t="s">
        <v>262</v>
      </c>
      <c r="J47" t="s">
        <v>142</v>
      </c>
    </row>
    <row r="48" spans="1:10" x14ac:dyDescent="0.2">
      <c r="A48">
        <v>47</v>
      </c>
      <c r="B48" t="s">
        <v>263</v>
      </c>
      <c r="C48" t="s">
        <v>264</v>
      </c>
      <c r="D48" t="s">
        <v>809</v>
      </c>
      <c r="E48" t="s">
        <v>265</v>
      </c>
      <c r="F48" t="s">
        <v>266</v>
      </c>
      <c r="G48">
        <v>26</v>
      </c>
      <c r="H48" s="75">
        <v>204.16</v>
      </c>
      <c r="I48" t="s">
        <v>267</v>
      </c>
      <c r="J48" t="s">
        <v>142</v>
      </c>
    </row>
    <row r="49" spans="1:10" x14ac:dyDescent="0.2">
      <c r="A49">
        <v>48</v>
      </c>
      <c r="B49" t="s">
        <v>268</v>
      </c>
      <c r="C49" t="s">
        <v>269</v>
      </c>
      <c r="D49" t="s">
        <v>810</v>
      </c>
      <c r="E49" t="s">
        <v>270</v>
      </c>
      <c r="F49" t="s">
        <v>271</v>
      </c>
      <c r="G49">
        <v>16</v>
      </c>
      <c r="H49" s="75">
        <v>204.16</v>
      </c>
      <c r="I49" t="s">
        <v>249</v>
      </c>
      <c r="J49" t="s">
        <v>142</v>
      </c>
    </row>
    <row r="50" spans="1:10" x14ac:dyDescent="0.2">
      <c r="A50">
        <v>49</v>
      </c>
      <c r="B50" t="s">
        <v>272</v>
      </c>
      <c r="C50" t="s">
        <v>273</v>
      </c>
      <c r="D50" t="s">
        <v>811</v>
      </c>
      <c r="E50" t="s">
        <v>274</v>
      </c>
      <c r="F50" t="s">
        <v>266</v>
      </c>
      <c r="G50">
        <v>17</v>
      </c>
      <c r="H50" s="75">
        <v>204.16</v>
      </c>
      <c r="I50" t="s">
        <v>196</v>
      </c>
      <c r="J50" t="s">
        <v>142</v>
      </c>
    </row>
    <row r="51" spans="1:10" x14ac:dyDescent="0.2">
      <c r="A51">
        <v>50</v>
      </c>
      <c r="B51" t="s">
        <v>275</v>
      </c>
      <c r="C51" t="s">
        <v>276</v>
      </c>
      <c r="D51" t="s">
        <v>812</v>
      </c>
      <c r="E51" t="s">
        <v>274</v>
      </c>
      <c r="F51" t="s">
        <v>266</v>
      </c>
      <c r="G51">
        <v>17</v>
      </c>
      <c r="H51" s="75">
        <v>204.16</v>
      </c>
      <c r="I51" t="s">
        <v>196</v>
      </c>
      <c r="J51" t="s">
        <v>142</v>
      </c>
    </row>
    <row r="52" spans="1:10" x14ac:dyDescent="0.2">
      <c r="A52">
        <v>51</v>
      </c>
      <c r="B52" t="s">
        <v>277</v>
      </c>
      <c r="C52" t="s">
        <v>278</v>
      </c>
      <c r="D52" t="s">
        <v>813</v>
      </c>
      <c r="E52" t="s">
        <v>274</v>
      </c>
      <c r="F52" t="s">
        <v>266</v>
      </c>
      <c r="G52">
        <v>17</v>
      </c>
      <c r="H52" s="75">
        <v>204.16</v>
      </c>
      <c r="I52" t="s">
        <v>196</v>
      </c>
      <c r="J52" t="s">
        <v>142</v>
      </c>
    </row>
    <row r="53" spans="1:10" x14ac:dyDescent="0.2">
      <c r="A53">
        <v>52</v>
      </c>
      <c r="B53" t="s">
        <v>279</v>
      </c>
      <c r="C53" t="s">
        <v>280</v>
      </c>
      <c r="D53" t="s">
        <v>814</v>
      </c>
      <c r="E53" t="s">
        <v>274</v>
      </c>
      <c r="F53" t="s">
        <v>266</v>
      </c>
      <c r="G53">
        <v>17</v>
      </c>
      <c r="H53" s="75">
        <v>204.16</v>
      </c>
      <c r="I53" t="s">
        <v>196</v>
      </c>
      <c r="J53" t="s">
        <v>142</v>
      </c>
    </row>
    <row r="54" spans="1:10" x14ac:dyDescent="0.2">
      <c r="A54">
        <v>53</v>
      </c>
      <c r="B54" t="s">
        <v>281</v>
      </c>
      <c r="C54" t="s">
        <v>282</v>
      </c>
      <c r="D54" t="s">
        <v>815</v>
      </c>
      <c r="E54" t="s">
        <v>274</v>
      </c>
      <c r="F54" t="s">
        <v>266</v>
      </c>
      <c r="G54">
        <v>17</v>
      </c>
      <c r="H54" s="75">
        <v>204.16</v>
      </c>
      <c r="I54" t="s">
        <v>196</v>
      </c>
      <c r="J54" t="s">
        <v>142</v>
      </c>
    </row>
    <row r="55" spans="1:10" x14ac:dyDescent="0.2">
      <c r="A55">
        <v>54</v>
      </c>
      <c r="B55" t="s">
        <v>283</v>
      </c>
      <c r="C55" t="s">
        <v>284</v>
      </c>
      <c r="D55" t="s">
        <v>816</v>
      </c>
      <c r="E55" t="s">
        <v>274</v>
      </c>
      <c r="F55" t="s">
        <v>285</v>
      </c>
      <c r="G55">
        <v>17</v>
      </c>
      <c r="H55" s="75">
        <v>204.16</v>
      </c>
      <c r="I55" t="s">
        <v>196</v>
      </c>
      <c r="J55" t="s">
        <v>142</v>
      </c>
    </row>
    <row r="56" spans="1:10" x14ac:dyDescent="0.2">
      <c r="A56">
        <v>55</v>
      </c>
      <c r="B56" t="s">
        <v>200</v>
      </c>
      <c r="C56" t="s">
        <v>286</v>
      </c>
      <c r="D56" t="s">
        <v>817</v>
      </c>
      <c r="E56" t="s">
        <v>274</v>
      </c>
      <c r="F56" t="s">
        <v>266</v>
      </c>
      <c r="G56">
        <v>17</v>
      </c>
      <c r="H56" s="75">
        <v>204.16</v>
      </c>
      <c r="I56" t="s">
        <v>196</v>
      </c>
      <c r="J56" t="s">
        <v>142</v>
      </c>
    </row>
    <row r="57" spans="1:10" x14ac:dyDescent="0.2">
      <c r="A57">
        <v>56</v>
      </c>
      <c r="B57" t="s">
        <v>287</v>
      </c>
      <c r="C57" t="s">
        <v>288</v>
      </c>
      <c r="D57" t="s">
        <v>818</v>
      </c>
      <c r="E57" t="s">
        <v>274</v>
      </c>
      <c r="F57" t="s">
        <v>266</v>
      </c>
      <c r="G57">
        <v>17</v>
      </c>
      <c r="H57" s="75">
        <v>204.16</v>
      </c>
      <c r="I57" t="s">
        <v>196</v>
      </c>
      <c r="J57" t="s">
        <v>142</v>
      </c>
    </row>
    <row r="58" spans="1:10" x14ac:dyDescent="0.2">
      <c r="A58">
        <v>57</v>
      </c>
      <c r="B58" t="s">
        <v>289</v>
      </c>
      <c r="C58" t="s">
        <v>290</v>
      </c>
      <c r="D58" t="s">
        <v>819</v>
      </c>
      <c r="E58" t="s">
        <v>274</v>
      </c>
      <c r="F58" t="s">
        <v>266</v>
      </c>
      <c r="G58">
        <v>17</v>
      </c>
      <c r="H58" s="75">
        <v>204.16</v>
      </c>
      <c r="I58" t="s">
        <v>196</v>
      </c>
      <c r="J58" t="s">
        <v>142</v>
      </c>
    </row>
    <row r="59" spans="1:10" x14ac:dyDescent="0.2">
      <c r="A59">
        <v>58</v>
      </c>
      <c r="B59" t="s">
        <v>291</v>
      </c>
      <c r="C59" t="s">
        <v>292</v>
      </c>
      <c r="D59" t="s">
        <v>820</v>
      </c>
      <c r="E59" t="s">
        <v>274</v>
      </c>
      <c r="F59" t="s">
        <v>266</v>
      </c>
      <c r="G59">
        <v>16</v>
      </c>
      <c r="H59" s="75">
        <v>204.16</v>
      </c>
      <c r="I59" t="s">
        <v>158</v>
      </c>
      <c r="J59" t="s">
        <v>142</v>
      </c>
    </row>
    <row r="60" spans="1:10" x14ac:dyDescent="0.2">
      <c r="A60">
        <v>59</v>
      </c>
      <c r="B60" t="s">
        <v>245</v>
      </c>
      <c r="C60" t="s">
        <v>293</v>
      </c>
      <c r="D60" t="s">
        <v>821</v>
      </c>
      <c r="E60" t="s">
        <v>274</v>
      </c>
      <c r="F60" t="s">
        <v>266</v>
      </c>
      <c r="G60">
        <v>16</v>
      </c>
      <c r="H60" s="75">
        <v>204.16</v>
      </c>
      <c r="I60" t="s">
        <v>158</v>
      </c>
      <c r="J60" t="s">
        <v>142</v>
      </c>
    </row>
    <row r="61" spans="1:10" x14ac:dyDescent="0.2">
      <c r="A61">
        <v>60</v>
      </c>
      <c r="B61" t="s">
        <v>294</v>
      </c>
      <c r="C61" t="s">
        <v>295</v>
      </c>
      <c r="D61" t="s">
        <v>822</v>
      </c>
      <c r="E61" t="s">
        <v>274</v>
      </c>
      <c r="F61" t="s">
        <v>266</v>
      </c>
      <c r="G61">
        <v>16</v>
      </c>
      <c r="H61" s="75">
        <v>204.16</v>
      </c>
      <c r="I61" t="s">
        <v>158</v>
      </c>
      <c r="J61" t="s">
        <v>142</v>
      </c>
    </row>
    <row r="62" spans="1:10" x14ac:dyDescent="0.2">
      <c r="A62">
        <v>61</v>
      </c>
      <c r="B62" t="s">
        <v>296</v>
      </c>
      <c r="C62" t="s">
        <v>297</v>
      </c>
      <c r="D62" t="s">
        <v>823</v>
      </c>
      <c r="E62" t="s">
        <v>274</v>
      </c>
      <c r="F62" t="s">
        <v>266</v>
      </c>
      <c r="G62">
        <v>16</v>
      </c>
      <c r="H62" s="75">
        <v>204.16</v>
      </c>
      <c r="I62" t="s">
        <v>158</v>
      </c>
      <c r="J62" t="s">
        <v>142</v>
      </c>
    </row>
    <row r="63" spans="1:10" x14ac:dyDescent="0.2">
      <c r="A63">
        <v>62</v>
      </c>
      <c r="B63" t="s">
        <v>298</v>
      </c>
      <c r="C63" t="s">
        <v>299</v>
      </c>
      <c r="D63" t="s">
        <v>824</v>
      </c>
      <c r="E63" t="s">
        <v>274</v>
      </c>
      <c r="F63" t="s">
        <v>266</v>
      </c>
      <c r="G63">
        <v>16</v>
      </c>
      <c r="H63" s="75">
        <v>204.16</v>
      </c>
      <c r="I63" t="s">
        <v>158</v>
      </c>
      <c r="J63" t="s">
        <v>142</v>
      </c>
    </row>
    <row r="64" spans="1:10" x14ac:dyDescent="0.2">
      <c r="A64">
        <v>63</v>
      </c>
      <c r="B64" t="s">
        <v>300</v>
      </c>
      <c r="C64" t="s">
        <v>301</v>
      </c>
      <c r="D64" t="s">
        <v>825</v>
      </c>
      <c r="E64" t="s">
        <v>274</v>
      </c>
      <c r="F64" t="s">
        <v>266</v>
      </c>
      <c r="G64">
        <v>16</v>
      </c>
      <c r="H64" s="75">
        <v>204.16</v>
      </c>
      <c r="I64" t="s">
        <v>158</v>
      </c>
      <c r="J64" t="s">
        <v>142</v>
      </c>
    </row>
    <row r="65" spans="1:10" x14ac:dyDescent="0.2">
      <c r="A65">
        <v>64</v>
      </c>
      <c r="B65" t="s">
        <v>281</v>
      </c>
      <c r="C65" t="s">
        <v>302</v>
      </c>
      <c r="D65" t="s">
        <v>826</v>
      </c>
      <c r="E65" t="s">
        <v>274</v>
      </c>
      <c r="F65" t="s">
        <v>266</v>
      </c>
      <c r="G65">
        <v>16</v>
      </c>
      <c r="H65" s="75">
        <v>204.16</v>
      </c>
      <c r="I65" t="s">
        <v>158</v>
      </c>
      <c r="J65" t="s">
        <v>142</v>
      </c>
    </row>
    <row r="66" spans="1:10" x14ac:dyDescent="0.2">
      <c r="A66">
        <v>65</v>
      </c>
      <c r="B66" t="s">
        <v>303</v>
      </c>
      <c r="C66" t="s">
        <v>304</v>
      </c>
      <c r="D66" t="s">
        <v>827</v>
      </c>
      <c r="E66" t="s">
        <v>274</v>
      </c>
      <c r="F66" t="s">
        <v>266</v>
      </c>
      <c r="G66">
        <v>16</v>
      </c>
      <c r="H66" s="75">
        <v>204.16</v>
      </c>
      <c r="I66" t="s">
        <v>158</v>
      </c>
      <c r="J66" t="s">
        <v>142</v>
      </c>
    </row>
    <row r="67" spans="1:10" x14ac:dyDescent="0.2">
      <c r="A67">
        <v>66</v>
      </c>
      <c r="B67" t="s">
        <v>305</v>
      </c>
      <c r="C67" t="s">
        <v>306</v>
      </c>
      <c r="D67" t="s">
        <v>828</v>
      </c>
      <c r="E67" t="s">
        <v>274</v>
      </c>
      <c r="F67" t="s">
        <v>266</v>
      </c>
      <c r="G67">
        <v>16</v>
      </c>
      <c r="H67" s="75">
        <v>204.16</v>
      </c>
      <c r="I67" t="s">
        <v>158</v>
      </c>
      <c r="J67" t="s">
        <v>142</v>
      </c>
    </row>
    <row r="68" spans="1:10" x14ac:dyDescent="0.2">
      <c r="A68">
        <v>67</v>
      </c>
      <c r="B68" t="s">
        <v>307</v>
      </c>
      <c r="C68" t="s">
        <v>308</v>
      </c>
      <c r="D68" t="s">
        <v>829</v>
      </c>
      <c r="E68" t="s">
        <v>274</v>
      </c>
      <c r="F68" t="s">
        <v>266</v>
      </c>
      <c r="G68">
        <v>16</v>
      </c>
      <c r="H68" s="75">
        <v>204.16</v>
      </c>
      <c r="I68" t="s">
        <v>158</v>
      </c>
      <c r="J68" t="s">
        <v>142</v>
      </c>
    </row>
    <row r="69" spans="1:10" x14ac:dyDescent="0.2">
      <c r="A69">
        <v>68</v>
      </c>
      <c r="B69" t="s">
        <v>309</v>
      </c>
      <c r="C69" t="s">
        <v>310</v>
      </c>
      <c r="D69" t="s">
        <v>830</v>
      </c>
      <c r="E69" t="s">
        <v>274</v>
      </c>
      <c r="F69" t="s">
        <v>266</v>
      </c>
      <c r="G69">
        <v>16</v>
      </c>
      <c r="H69" s="75">
        <v>204.16</v>
      </c>
      <c r="I69" t="s">
        <v>158</v>
      </c>
      <c r="J69" t="s">
        <v>142</v>
      </c>
    </row>
    <row r="70" spans="1:10" x14ac:dyDescent="0.2">
      <c r="A70">
        <v>69</v>
      </c>
      <c r="B70" t="s">
        <v>311</v>
      </c>
      <c r="C70" t="s">
        <v>312</v>
      </c>
      <c r="D70" t="s">
        <v>831</v>
      </c>
      <c r="E70" t="s">
        <v>274</v>
      </c>
      <c r="F70" t="s">
        <v>266</v>
      </c>
      <c r="G70">
        <v>16</v>
      </c>
      <c r="H70" s="75">
        <v>204.16</v>
      </c>
      <c r="I70" t="s">
        <v>158</v>
      </c>
      <c r="J70" t="s">
        <v>142</v>
      </c>
    </row>
    <row r="71" spans="1:10" x14ac:dyDescent="0.2">
      <c r="A71">
        <v>70</v>
      </c>
      <c r="B71" t="s">
        <v>243</v>
      </c>
      <c r="C71" t="s">
        <v>313</v>
      </c>
      <c r="D71" t="s">
        <v>832</v>
      </c>
      <c r="E71" t="s">
        <v>274</v>
      </c>
      <c r="F71" t="s">
        <v>266</v>
      </c>
      <c r="G71">
        <v>16</v>
      </c>
      <c r="H71" s="75">
        <v>204.16</v>
      </c>
      <c r="I71" t="s">
        <v>158</v>
      </c>
      <c r="J71" t="s">
        <v>142</v>
      </c>
    </row>
    <row r="72" spans="1:10" x14ac:dyDescent="0.2">
      <c r="A72">
        <v>71</v>
      </c>
      <c r="B72" t="s">
        <v>314</v>
      </c>
      <c r="C72" t="s">
        <v>315</v>
      </c>
      <c r="D72" t="s">
        <v>833</v>
      </c>
      <c r="E72" t="s">
        <v>274</v>
      </c>
      <c r="F72" t="s">
        <v>266</v>
      </c>
      <c r="G72">
        <v>16</v>
      </c>
      <c r="H72" s="75">
        <v>204.16</v>
      </c>
      <c r="I72" t="s">
        <v>158</v>
      </c>
      <c r="J72" t="s">
        <v>142</v>
      </c>
    </row>
    <row r="73" spans="1:10" x14ac:dyDescent="0.2">
      <c r="A73">
        <v>72</v>
      </c>
      <c r="B73" t="s">
        <v>316</v>
      </c>
      <c r="C73" t="s">
        <v>317</v>
      </c>
      <c r="D73" t="s">
        <v>834</v>
      </c>
      <c r="E73" t="s">
        <v>274</v>
      </c>
      <c r="F73" t="s">
        <v>266</v>
      </c>
      <c r="G73">
        <v>16</v>
      </c>
      <c r="H73" s="75">
        <v>204.16</v>
      </c>
      <c r="I73" t="s">
        <v>158</v>
      </c>
      <c r="J73" t="s">
        <v>142</v>
      </c>
    </row>
    <row r="74" spans="1:10" x14ac:dyDescent="0.2">
      <c r="A74">
        <v>73</v>
      </c>
      <c r="B74" t="s">
        <v>318</v>
      </c>
      <c r="C74" t="s">
        <v>319</v>
      </c>
      <c r="D74" t="s">
        <v>835</v>
      </c>
      <c r="E74" t="s">
        <v>274</v>
      </c>
      <c r="F74" t="s">
        <v>266</v>
      </c>
      <c r="G74">
        <v>16</v>
      </c>
      <c r="H74" s="75">
        <v>204.16</v>
      </c>
      <c r="I74" t="s">
        <v>158</v>
      </c>
      <c r="J74" t="s">
        <v>142</v>
      </c>
    </row>
    <row r="75" spans="1:10" x14ac:dyDescent="0.2">
      <c r="A75">
        <v>74</v>
      </c>
      <c r="B75" t="s">
        <v>320</v>
      </c>
      <c r="C75" t="s">
        <v>321</v>
      </c>
      <c r="D75" t="s">
        <v>836</v>
      </c>
      <c r="E75" t="s">
        <v>274</v>
      </c>
      <c r="F75" t="s">
        <v>266</v>
      </c>
      <c r="G75">
        <v>16</v>
      </c>
      <c r="H75" s="75">
        <v>204.16</v>
      </c>
      <c r="I75" t="s">
        <v>158</v>
      </c>
      <c r="J75" t="s">
        <v>142</v>
      </c>
    </row>
    <row r="76" spans="1:10" x14ac:dyDescent="0.2">
      <c r="A76">
        <v>75</v>
      </c>
      <c r="B76" t="s">
        <v>322</v>
      </c>
      <c r="C76" t="s">
        <v>323</v>
      </c>
      <c r="D76" t="s">
        <v>837</v>
      </c>
      <c r="E76" t="s">
        <v>274</v>
      </c>
      <c r="F76" t="s">
        <v>266</v>
      </c>
      <c r="G76">
        <v>16</v>
      </c>
      <c r="H76" s="75">
        <v>204.16</v>
      </c>
      <c r="I76" t="s">
        <v>158</v>
      </c>
      <c r="J76" t="s">
        <v>142</v>
      </c>
    </row>
    <row r="77" spans="1:10" x14ac:dyDescent="0.2">
      <c r="A77">
        <v>76</v>
      </c>
      <c r="B77" t="s">
        <v>324</v>
      </c>
      <c r="C77" t="s">
        <v>325</v>
      </c>
      <c r="D77" t="s">
        <v>838</v>
      </c>
      <c r="E77" t="s">
        <v>274</v>
      </c>
      <c r="F77" t="s">
        <v>266</v>
      </c>
      <c r="G77">
        <v>16</v>
      </c>
      <c r="H77" s="75">
        <v>204.16</v>
      </c>
      <c r="I77" t="s">
        <v>158</v>
      </c>
      <c r="J77" t="s">
        <v>142</v>
      </c>
    </row>
    <row r="78" spans="1:10" x14ac:dyDescent="0.2">
      <c r="A78">
        <v>77</v>
      </c>
      <c r="B78" t="s">
        <v>326</v>
      </c>
      <c r="C78" t="s">
        <v>327</v>
      </c>
      <c r="D78" t="s">
        <v>839</v>
      </c>
      <c r="E78" t="s">
        <v>274</v>
      </c>
      <c r="F78" t="s">
        <v>266</v>
      </c>
      <c r="G78">
        <v>16</v>
      </c>
      <c r="H78" s="75">
        <v>204.16</v>
      </c>
      <c r="I78" t="s">
        <v>158</v>
      </c>
      <c r="J78" t="s">
        <v>142</v>
      </c>
    </row>
    <row r="79" spans="1:10" x14ac:dyDescent="0.2">
      <c r="A79">
        <v>78</v>
      </c>
      <c r="B79" t="s">
        <v>328</v>
      </c>
      <c r="C79" t="s">
        <v>329</v>
      </c>
      <c r="D79" t="s">
        <v>840</v>
      </c>
      <c r="E79" t="s">
        <v>274</v>
      </c>
      <c r="F79" t="s">
        <v>266</v>
      </c>
      <c r="G79">
        <v>16</v>
      </c>
      <c r="H79" s="75">
        <v>204.16</v>
      </c>
      <c r="I79" t="s">
        <v>158</v>
      </c>
      <c r="J79" t="s">
        <v>142</v>
      </c>
    </row>
    <row r="80" spans="1:10" x14ac:dyDescent="0.2">
      <c r="A80">
        <v>79</v>
      </c>
      <c r="B80" t="s">
        <v>330</v>
      </c>
      <c r="C80" t="s">
        <v>331</v>
      </c>
      <c r="D80" t="s">
        <v>841</v>
      </c>
      <c r="E80" t="s">
        <v>274</v>
      </c>
      <c r="F80" t="s">
        <v>266</v>
      </c>
      <c r="G80">
        <v>16</v>
      </c>
      <c r="H80" s="75">
        <v>204.16</v>
      </c>
      <c r="I80" t="s">
        <v>158</v>
      </c>
      <c r="J80" t="s">
        <v>142</v>
      </c>
    </row>
    <row r="81" spans="1:10" x14ac:dyDescent="0.2">
      <c r="A81">
        <v>80</v>
      </c>
      <c r="B81" t="s">
        <v>332</v>
      </c>
      <c r="C81" t="s">
        <v>333</v>
      </c>
      <c r="D81" t="s">
        <v>842</v>
      </c>
      <c r="E81" t="s">
        <v>274</v>
      </c>
      <c r="F81" t="s">
        <v>266</v>
      </c>
      <c r="G81">
        <v>16</v>
      </c>
      <c r="H81" s="75">
        <v>204.16</v>
      </c>
      <c r="I81" t="s">
        <v>158</v>
      </c>
      <c r="J81" t="s">
        <v>142</v>
      </c>
    </row>
    <row r="82" spans="1:10" x14ac:dyDescent="0.2">
      <c r="A82">
        <v>81</v>
      </c>
      <c r="B82" t="s">
        <v>334</v>
      </c>
      <c r="C82" t="s">
        <v>335</v>
      </c>
      <c r="D82" t="s">
        <v>843</v>
      </c>
      <c r="E82" t="s">
        <v>274</v>
      </c>
      <c r="F82" t="s">
        <v>266</v>
      </c>
      <c r="G82">
        <v>16</v>
      </c>
      <c r="H82" s="75">
        <v>204.16</v>
      </c>
      <c r="I82" t="s">
        <v>158</v>
      </c>
      <c r="J82" t="s">
        <v>142</v>
      </c>
    </row>
    <row r="83" spans="1:10" x14ac:dyDescent="0.2">
      <c r="A83">
        <v>82</v>
      </c>
      <c r="B83" t="s">
        <v>336</v>
      </c>
      <c r="C83" t="s">
        <v>337</v>
      </c>
      <c r="D83" t="s">
        <v>844</v>
      </c>
      <c r="E83" t="s">
        <v>274</v>
      </c>
      <c r="F83" t="s">
        <v>266</v>
      </c>
      <c r="G83">
        <v>16</v>
      </c>
      <c r="H83" s="75">
        <v>204.16</v>
      </c>
      <c r="I83" t="s">
        <v>158</v>
      </c>
      <c r="J83" t="s">
        <v>142</v>
      </c>
    </row>
    <row r="84" spans="1:10" x14ac:dyDescent="0.2">
      <c r="A84">
        <v>83</v>
      </c>
      <c r="B84" t="s">
        <v>338</v>
      </c>
      <c r="C84" t="s">
        <v>339</v>
      </c>
      <c r="D84" t="s">
        <v>845</v>
      </c>
      <c r="E84" t="s">
        <v>274</v>
      </c>
      <c r="F84" t="s">
        <v>266</v>
      </c>
      <c r="G84">
        <v>16</v>
      </c>
      <c r="H84" s="75">
        <v>204.16</v>
      </c>
      <c r="I84" t="s">
        <v>158</v>
      </c>
      <c r="J84" t="s">
        <v>142</v>
      </c>
    </row>
    <row r="85" spans="1:10" x14ac:dyDescent="0.2">
      <c r="A85">
        <v>84</v>
      </c>
      <c r="B85" t="s">
        <v>340</v>
      </c>
      <c r="C85" t="s">
        <v>341</v>
      </c>
      <c r="D85" t="s">
        <v>846</v>
      </c>
      <c r="E85" t="s">
        <v>274</v>
      </c>
      <c r="F85" t="s">
        <v>266</v>
      </c>
      <c r="G85">
        <v>22</v>
      </c>
      <c r="H85" s="75">
        <v>204.16</v>
      </c>
      <c r="I85" t="s">
        <v>342</v>
      </c>
      <c r="J85" t="s">
        <v>142</v>
      </c>
    </row>
    <row r="86" spans="1:10" x14ac:dyDescent="0.2">
      <c r="A86">
        <v>85</v>
      </c>
      <c r="B86" t="s">
        <v>343</v>
      </c>
      <c r="C86" t="s">
        <v>344</v>
      </c>
      <c r="D86" t="s">
        <v>847</v>
      </c>
      <c r="E86" t="s">
        <v>274</v>
      </c>
      <c r="F86" t="s">
        <v>266</v>
      </c>
      <c r="G86">
        <v>22</v>
      </c>
      <c r="H86" s="75">
        <v>204.16</v>
      </c>
      <c r="I86" t="s">
        <v>342</v>
      </c>
      <c r="J86" t="s">
        <v>142</v>
      </c>
    </row>
    <row r="87" spans="1:10" x14ac:dyDescent="0.2">
      <c r="A87">
        <v>86</v>
      </c>
      <c r="B87" t="s">
        <v>345</v>
      </c>
      <c r="C87" t="s">
        <v>346</v>
      </c>
      <c r="D87" t="s">
        <v>848</v>
      </c>
      <c r="E87" t="s">
        <v>274</v>
      </c>
      <c r="F87" t="s">
        <v>266</v>
      </c>
      <c r="G87">
        <v>22</v>
      </c>
      <c r="H87" s="75">
        <v>204.16</v>
      </c>
      <c r="I87" t="s">
        <v>342</v>
      </c>
      <c r="J87" t="s">
        <v>142</v>
      </c>
    </row>
    <row r="88" spans="1:10" x14ac:dyDescent="0.2">
      <c r="A88">
        <v>87</v>
      </c>
      <c r="B88" t="s">
        <v>347</v>
      </c>
      <c r="C88" t="s">
        <v>348</v>
      </c>
      <c r="D88" t="s">
        <v>849</v>
      </c>
      <c r="E88" t="s">
        <v>274</v>
      </c>
      <c r="F88" t="s">
        <v>266</v>
      </c>
      <c r="G88">
        <v>17</v>
      </c>
      <c r="H88" s="75">
        <v>204.16</v>
      </c>
      <c r="I88" t="s">
        <v>349</v>
      </c>
      <c r="J88" t="s">
        <v>142</v>
      </c>
    </row>
    <row r="89" spans="1:10" x14ac:dyDescent="0.2">
      <c r="A89">
        <v>88</v>
      </c>
      <c r="B89" t="s">
        <v>350</v>
      </c>
      <c r="C89" t="s">
        <v>351</v>
      </c>
      <c r="D89" t="s">
        <v>850</v>
      </c>
      <c r="E89" t="s">
        <v>352</v>
      </c>
      <c r="F89" t="s">
        <v>353</v>
      </c>
      <c r="G89">
        <v>22</v>
      </c>
      <c r="H89" s="75">
        <v>204.16</v>
      </c>
      <c r="I89" t="s">
        <v>354</v>
      </c>
      <c r="J89" t="s">
        <v>142</v>
      </c>
    </row>
    <row r="90" spans="1:10" x14ac:dyDescent="0.2">
      <c r="A90">
        <v>89</v>
      </c>
      <c r="B90" t="s">
        <v>355</v>
      </c>
      <c r="C90" t="s">
        <v>356</v>
      </c>
      <c r="D90" t="s">
        <v>851</v>
      </c>
      <c r="E90" t="s">
        <v>352</v>
      </c>
      <c r="F90" t="s">
        <v>353</v>
      </c>
      <c r="G90">
        <v>22</v>
      </c>
      <c r="H90" s="75">
        <v>204.16</v>
      </c>
      <c r="I90" t="s">
        <v>354</v>
      </c>
      <c r="J90" t="s">
        <v>142</v>
      </c>
    </row>
    <row r="91" spans="1:10" x14ac:dyDescent="0.2">
      <c r="A91">
        <v>90</v>
      </c>
      <c r="B91" t="s">
        <v>209</v>
      </c>
      <c r="C91" t="s">
        <v>357</v>
      </c>
      <c r="D91" t="s">
        <v>852</v>
      </c>
      <c r="E91" t="s">
        <v>352</v>
      </c>
      <c r="F91" t="s">
        <v>353</v>
      </c>
      <c r="G91">
        <v>22</v>
      </c>
      <c r="H91" s="75">
        <v>204.16</v>
      </c>
      <c r="I91" t="s">
        <v>354</v>
      </c>
      <c r="J91" t="s">
        <v>142</v>
      </c>
    </row>
    <row r="92" spans="1:10" x14ac:dyDescent="0.2">
      <c r="A92">
        <v>91</v>
      </c>
      <c r="B92" t="s">
        <v>358</v>
      </c>
      <c r="C92" t="s">
        <v>359</v>
      </c>
      <c r="D92" t="s">
        <v>853</v>
      </c>
      <c r="E92" t="s">
        <v>352</v>
      </c>
      <c r="F92" t="s">
        <v>353</v>
      </c>
      <c r="G92">
        <v>22</v>
      </c>
      <c r="H92" s="75">
        <v>204.16</v>
      </c>
      <c r="I92" t="s">
        <v>354</v>
      </c>
      <c r="J92" t="s">
        <v>142</v>
      </c>
    </row>
    <row r="93" spans="1:10" x14ac:dyDescent="0.2">
      <c r="A93">
        <v>92</v>
      </c>
      <c r="B93" t="s">
        <v>360</v>
      </c>
      <c r="C93" t="s">
        <v>361</v>
      </c>
      <c r="D93" t="s">
        <v>854</v>
      </c>
      <c r="E93" t="s">
        <v>352</v>
      </c>
      <c r="F93" t="s">
        <v>353</v>
      </c>
      <c r="G93">
        <v>19</v>
      </c>
      <c r="H93" s="75">
        <v>204.16</v>
      </c>
      <c r="I93" t="s">
        <v>354</v>
      </c>
      <c r="J93" t="s">
        <v>142</v>
      </c>
    </row>
    <row r="94" spans="1:10" x14ac:dyDescent="0.2">
      <c r="A94">
        <v>93</v>
      </c>
      <c r="B94" t="s">
        <v>362</v>
      </c>
      <c r="C94" t="s">
        <v>363</v>
      </c>
      <c r="D94" t="s">
        <v>855</v>
      </c>
      <c r="E94" t="s">
        <v>352</v>
      </c>
      <c r="F94" t="s">
        <v>353</v>
      </c>
      <c r="G94">
        <v>22</v>
      </c>
      <c r="H94" s="75">
        <v>204.16</v>
      </c>
      <c r="I94" t="s">
        <v>364</v>
      </c>
      <c r="J94" t="s">
        <v>142</v>
      </c>
    </row>
    <row r="95" spans="1:10" x14ac:dyDescent="0.2">
      <c r="A95">
        <v>94</v>
      </c>
      <c r="B95" t="s">
        <v>365</v>
      </c>
      <c r="C95" t="s">
        <v>366</v>
      </c>
      <c r="D95" t="s">
        <v>856</v>
      </c>
      <c r="E95" t="s">
        <v>367</v>
      </c>
      <c r="F95" t="s">
        <v>353</v>
      </c>
      <c r="G95">
        <v>22</v>
      </c>
      <c r="H95" s="75">
        <v>204.16</v>
      </c>
      <c r="I95" t="s">
        <v>206</v>
      </c>
      <c r="J95" t="s">
        <v>142</v>
      </c>
    </row>
    <row r="96" spans="1:10" x14ac:dyDescent="0.2">
      <c r="A96">
        <v>95</v>
      </c>
      <c r="B96" t="s">
        <v>368</v>
      </c>
      <c r="C96" t="s">
        <v>369</v>
      </c>
      <c r="D96" t="s">
        <v>857</v>
      </c>
      <c r="E96" t="s">
        <v>367</v>
      </c>
      <c r="F96" t="s">
        <v>353</v>
      </c>
      <c r="G96">
        <v>22</v>
      </c>
      <c r="H96" s="75">
        <v>204.16</v>
      </c>
      <c r="I96" t="s">
        <v>206</v>
      </c>
      <c r="J96" t="s">
        <v>142</v>
      </c>
    </row>
    <row r="97" spans="1:10" x14ac:dyDescent="0.2">
      <c r="A97">
        <v>96</v>
      </c>
      <c r="B97" t="s">
        <v>370</v>
      </c>
      <c r="C97" t="s">
        <v>371</v>
      </c>
      <c r="D97" t="s">
        <v>858</v>
      </c>
      <c r="E97" t="s">
        <v>367</v>
      </c>
      <c r="F97" t="s">
        <v>353</v>
      </c>
      <c r="G97">
        <v>22</v>
      </c>
      <c r="H97" s="75">
        <v>204.16</v>
      </c>
      <c r="I97" t="s">
        <v>206</v>
      </c>
      <c r="J97" t="s">
        <v>142</v>
      </c>
    </row>
    <row r="98" spans="1:10" x14ac:dyDescent="0.2">
      <c r="A98">
        <v>97</v>
      </c>
      <c r="B98" t="s">
        <v>372</v>
      </c>
      <c r="C98" t="s">
        <v>373</v>
      </c>
      <c r="D98" t="s">
        <v>859</v>
      </c>
      <c r="E98" t="s">
        <v>367</v>
      </c>
      <c r="F98" t="s">
        <v>353</v>
      </c>
      <c r="G98">
        <v>22</v>
      </c>
      <c r="H98" s="75">
        <v>204.16</v>
      </c>
      <c r="I98" t="s">
        <v>206</v>
      </c>
      <c r="J98" t="s">
        <v>142</v>
      </c>
    </row>
    <row r="99" spans="1:10" x14ac:dyDescent="0.2">
      <c r="A99">
        <v>98</v>
      </c>
      <c r="B99" t="s">
        <v>374</v>
      </c>
      <c r="C99" t="s">
        <v>375</v>
      </c>
      <c r="D99" t="s">
        <v>860</v>
      </c>
      <c r="E99" t="s">
        <v>367</v>
      </c>
      <c r="F99" t="s">
        <v>353</v>
      </c>
      <c r="G99">
        <v>22</v>
      </c>
      <c r="H99" s="75">
        <v>204.16</v>
      </c>
      <c r="I99" t="s">
        <v>206</v>
      </c>
      <c r="J99" t="s">
        <v>142</v>
      </c>
    </row>
    <row r="100" spans="1:10" x14ac:dyDescent="0.2">
      <c r="A100">
        <v>99</v>
      </c>
      <c r="B100" t="s">
        <v>200</v>
      </c>
      <c r="C100" t="s">
        <v>376</v>
      </c>
      <c r="D100" t="s">
        <v>861</v>
      </c>
      <c r="E100" t="s">
        <v>367</v>
      </c>
      <c r="F100" t="s">
        <v>353</v>
      </c>
      <c r="G100">
        <v>22</v>
      </c>
      <c r="H100" s="75">
        <v>204.16</v>
      </c>
      <c r="I100" t="s">
        <v>206</v>
      </c>
      <c r="J100" t="s">
        <v>142</v>
      </c>
    </row>
    <row r="101" spans="1:10" x14ac:dyDescent="0.2">
      <c r="A101">
        <v>100</v>
      </c>
      <c r="B101" t="s">
        <v>377</v>
      </c>
      <c r="C101" t="s">
        <v>378</v>
      </c>
      <c r="D101" t="s">
        <v>862</v>
      </c>
      <c r="E101" t="s">
        <v>367</v>
      </c>
      <c r="F101" t="s">
        <v>353</v>
      </c>
      <c r="G101">
        <v>22</v>
      </c>
      <c r="H101" s="75">
        <v>204.16</v>
      </c>
      <c r="I101" t="s">
        <v>206</v>
      </c>
      <c r="J101" t="s">
        <v>142</v>
      </c>
    </row>
    <row r="102" spans="1:10" x14ac:dyDescent="0.2">
      <c r="A102">
        <v>101</v>
      </c>
      <c r="B102" t="s">
        <v>379</v>
      </c>
      <c r="C102" t="s">
        <v>380</v>
      </c>
      <c r="D102" t="s">
        <v>863</v>
      </c>
      <c r="E102" t="s">
        <v>367</v>
      </c>
      <c r="F102" t="s">
        <v>353</v>
      </c>
      <c r="G102">
        <v>22</v>
      </c>
      <c r="H102" s="75">
        <v>204.16</v>
      </c>
      <c r="I102" t="s">
        <v>206</v>
      </c>
      <c r="J102" t="s">
        <v>142</v>
      </c>
    </row>
    <row r="103" spans="1:10" x14ac:dyDescent="0.2">
      <c r="A103">
        <v>102</v>
      </c>
      <c r="B103" t="s">
        <v>381</v>
      </c>
      <c r="C103" t="s">
        <v>382</v>
      </c>
      <c r="D103" t="s">
        <v>864</v>
      </c>
      <c r="E103" t="s">
        <v>367</v>
      </c>
      <c r="F103" t="s">
        <v>353</v>
      </c>
      <c r="G103">
        <v>22</v>
      </c>
      <c r="H103" s="75">
        <v>204.16</v>
      </c>
      <c r="I103" t="s">
        <v>206</v>
      </c>
      <c r="J103" t="s">
        <v>142</v>
      </c>
    </row>
    <row r="104" spans="1:10" x14ac:dyDescent="0.2">
      <c r="A104">
        <v>103</v>
      </c>
      <c r="B104" t="s">
        <v>383</v>
      </c>
      <c r="C104" t="s">
        <v>384</v>
      </c>
      <c r="D104" t="s">
        <v>865</v>
      </c>
      <c r="E104" t="s">
        <v>367</v>
      </c>
      <c r="F104" t="s">
        <v>353</v>
      </c>
      <c r="G104">
        <v>22</v>
      </c>
      <c r="H104" s="75">
        <v>204.16</v>
      </c>
      <c r="I104" t="s">
        <v>206</v>
      </c>
      <c r="J104" t="s">
        <v>142</v>
      </c>
    </row>
    <row r="105" spans="1:10" x14ac:dyDescent="0.2">
      <c r="A105">
        <v>104</v>
      </c>
      <c r="B105" t="s">
        <v>385</v>
      </c>
      <c r="C105" t="s">
        <v>386</v>
      </c>
      <c r="D105" t="s">
        <v>866</v>
      </c>
      <c r="E105" t="s">
        <v>367</v>
      </c>
      <c r="F105" t="s">
        <v>353</v>
      </c>
      <c r="G105">
        <v>22</v>
      </c>
      <c r="H105" s="75">
        <v>204.16</v>
      </c>
      <c r="I105" t="s">
        <v>206</v>
      </c>
      <c r="J105" t="s">
        <v>142</v>
      </c>
    </row>
    <row r="106" spans="1:10" x14ac:dyDescent="0.2">
      <c r="A106">
        <v>105</v>
      </c>
      <c r="B106" t="s">
        <v>268</v>
      </c>
      <c r="C106" t="s">
        <v>387</v>
      </c>
      <c r="D106" t="s">
        <v>867</v>
      </c>
      <c r="E106" t="s">
        <v>367</v>
      </c>
      <c r="F106" t="s">
        <v>353</v>
      </c>
      <c r="G106">
        <v>22</v>
      </c>
      <c r="H106" s="75">
        <v>204.16</v>
      </c>
      <c r="I106" t="s">
        <v>206</v>
      </c>
      <c r="J106" t="s">
        <v>142</v>
      </c>
    </row>
    <row r="107" spans="1:10" x14ac:dyDescent="0.2">
      <c r="A107">
        <v>106</v>
      </c>
      <c r="B107" t="s">
        <v>347</v>
      </c>
      <c r="C107" t="s">
        <v>388</v>
      </c>
      <c r="D107" t="s">
        <v>868</v>
      </c>
      <c r="E107" t="s">
        <v>367</v>
      </c>
      <c r="F107" t="s">
        <v>353</v>
      </c>
      <c r="G107">
        <v>22</v>
      </c>
      <c r="H107" s="75">
        <v>204.16</v>
      </c>
      <c r="I107" t="s">
        <v>206</v>
      </c>
      <c r="J107" t="s">
        <v>142</v>
      </c>
    </row>
    <row r="108" spans="1:10" x14ac:dyDescent="0.2">
      <c r="A108">
        <v>107</v>
      </c>
      <c r="B108" t="s">
        <v>389</v>
      </c>
      <c r="C108" t="s">
        <v>390</v>
      </c>
      <c r="D108" t="s">
        <v>869</v>
      </c>
      <c r="E108" t="s">
        <v>367</v>
      </c>
      <c r="F108" t="s">
        <v>353</v>
      </c>
      <c r="G108">
        <v>22</v>
      </c>
      <c r="H108" s="75">
        <v>204.16</v>
      </c>
      <c r="I108" t="s">
        <v>206</v>
      </c>
      <c r="J108" t="s">
        <v>142</v>
      </c>
    </row>
    <row r="109" spans="1:10" x14ac:dyDescent="0.2">
      <c r="A109">
        <v>108</v>
      </c>
      <c r="B109" t="s">
        <v>391</v>
      </c>
      <c r="C109" t="s">
        <v>392</v>
      </c>
      <c r="D109" t="s">
        <v>870</v>
      </c>
      <c r="E109" t="s">
        <v>367</v>
      </c>
      <c r="F109" t="s">
        <v>353</v>
      </c>
      <c r="G109">
        <v>22</v>
      </c>
      <c r="H109" s="75">
        <v>204.16</v>
      </c>
      <c r="I109" t="s">
        <v>206</v>
      </c>
      <c r="J109" t="s">
        <v>142</v>
      </c>
    </row>
    <row r="110" spans="1:10" x14ac:dyDescent="0.2">
      <c r="A110">
        <v>109</v>
      </c>
      <c r="B110" t="s">
        <v>393</v>
      </c>
      <c r="C110" t="s">
        <v>394</v>
      </c>
      <c r="D110" t="s">
        <v>871</v>
      </c>
      <c r="E110" t="s">
        <v>367</v>
      </c>
      <c r="F110" t="s">
        <v>353</v>
      </c>
      <c r="G110">
        <v>22</v>
      </c>
      <c r="H110" s="75">
        <v>204.16</v>
      </c>
      <c r="I110" t="s">
        <v>206</v>
      </c>
      <c r="J110" t="s">
        <v>142</v>
      </c>
    </row>
    <row r="111" spans="1:10" x14ac:dyDescent="0.2">
      <c r="A111">
        <v>110</v>
      </c>
      <c r="B111" t="s">
        <v>395</v>
      </c>
      <c r="C111" t="s">
        <v>396</v>
      </c>
      <c r="D111" t="s">
        <v>872</v>
      </c>
      <c r="E111" t="s">
        <v>367</v>
      </c>
      <c r="F111" t="s">
        <v>353</v>
      </c>
      <c r="G111">
        <v>22</v>
      </c>
      <c r="H111" s="75">
        <v>204.16</v>
      </c>
      <c r="I111" t="s">
        <v>206</v>
      </c>
      <c r="J111" t="s">
        <v>142</v>
      </c>
    </row>
    <row r="112" spans="1:10" x14ac:dyDescent="0.2">
      <c r="A112">
        <v>111</v>
      </c>
      <c r="B112" t="s">
        <v>397</v>
      </c>
      <c r="C112" t="s">
        <v>398</v>
      </c>
      <c r="D112" t="s">
        <v>873</v>
      </c>
      <c r="E112" t="s">
        <v>367</v>
      </c>
      <c r="F112" t="s">
        <v>353</v>
      </c>
      <c r="G112">
        <v>22</v>
      </c>
      <c r="H112" s="75">
        <v>218.08</v>
      </c>
      <c r="I112" t="s">
        <v>206</v>
      </c>
      <c r="J112" t="s">
        <v>159</v>
      </c>
    </row>
    <row r="113" spans="1:10" x14ac:dyDescent="0.2">
      <c r="A113">
        <v>112</v>
      </c>
      <c r="B113" t="s">
        <v>399</v>
      </c>
      <c r="C113" t="s">
        <v>400</v>
      </c>
      <c r="D113" t="s">
        <v>874</v>
      </c>
      <c r="E113" t="s">
        <v>367</v>
      </c>
      <c r="F113" t="s">
        <v>353</v>
      </c>
      <c r="G113">
        <v>22</v>
      </c>
      <c r="H113" s="75">
        <v>204.16</v>
      </c>
      <c r="I113" t="s">
        <v>206</v>
      </c>
      <c r="J113" t="s">
        <v>142</v>
      </c>
    </row>
    <row r="114" spans="1:10" x14ac:dyDescent="0.2">
      <c r="A114">
        <v>113</v>
      </c>
      <c r="B114" t="s">
        <v>401</v>
      </c>
      <c r="C114" t="s">
        <v>402</v>
      </c>
      <c r="D114" t="s">
        <v>875</v>
      </c>
      <c r="E114" t="s">
        <v>367</v>
      </c>
      <c r="F114" t="s">
        <v>353</v>
      </c>
      <c r="G114">
        <v>22</v>
      </c>
      <c r="H114" s="75">
        <v>204.16</v>
      </c>
      <c r="I114" t="s">
        <v>403</v>
      </c>
      <c r="J114" t="s">
        <v>142</v>
      </c>
    </row>
    <row r="115" spans="1:10" x14ac:dyDescent="0.2">
      <c r="A115">
        <v>114</v>
      </c>
      <c r="B115" t="s">
        <v>404</v>
      </c>
      <c r="C115" t="s">
        <v>405</v>
      </c>
      <c r="D115" t="s">
        <v>876</v>
      </c>
      <c r="E115" t="s">
        <v>406</v>
      </c>
      <c r="F115" t="s">
        <v>353</v>
      </c>
      <c r="G115">
        <v>22</v>
      </c>
      <c r="H115" s="75">
        <v>218.08</v>
      </c>
      <c r="I115" t="s">
        <v>364</v>
      </c>
      <c r="J115" t="s">
        <v>159</v>
      </c>
    </row>
    <row r="116" spans="1:10" x14ac:dyDescent="0.2">
      <c r="A116">
        <v>115</v>
      </c>
      <c r="B116" t="s">
        <v>407</v>
      </c>
      <c r="C116" t="s">
        <v>408</v>
      </c>
      <c r="D116" t="s">
        <v>877</v>
      </c>
      <c r="E116" t="s">
        <v>409</v>
      </c>
      <c r="F116" t="s">
        <v>353</v>
      </c>
      <c r="G116">
        <v>22</v>
      </c>
      <c r="H116" s="75">
        <v>204.16</v>
      </c>
      <c r="I116" t="s">
        <v>410</v>
      </c>
      <c r="J116" t="s">
        <v>142</v>
      </c>
    </row>
    <row r="117" spans="1:10" x14ac:dyDescent="0.2">
      <c r="A117">
        <v>116</v>
      </c>
      <c r="B117" t="s">
        <v>411</v>
      </c>
      <c r="C117" t="s">
        <v>412</v>
      </c>
      <c r="D117" t="s">
        <v>878</v>
      </c>
      <c r="E117" t="s">
        <v>409</v>
      </c>
      <c r="F117" t="s">
        <v>353</v>
      </c>
      <c r="G117">
        <v>22</v>
      </c>
      <c r="H117" s="75">
        <v>204.16</v>
      </c>
      <c r="I117" t="s">
        <v>410</v>
      </c>
      <c r="J117" t="s">
        <v>142</v>
      </c>
    </row>
    <row r="118" spans="1:10" x14ac:dyDescent="0.2">
      <c r="A118">
        <v>117</v>
      </c>
      <c r="B118" t="s">
        <v>413</v>
      </c>
      <c r="C118" t="s">
        <v>414</v>
      </c>
      <c r="D118" t="s">
        <v>879</v>
      </c>
      <c r="E118" t="s">
        <v>409</v>
      </c>
      <c r="F118" t="s">
        <v>353</v>
      </c>
      <c r="G118">
        <v>22</v>
      </c>
      <c r="H118" s="75">
        <v>204.16</v>
      </c>
      <c r="I118" t="s">
        <v>410</v>
      </c>
      <c r="J118" t="s">
        <v>142</v>
      </c>
    </row>
    <row r="119" spans="1:10" x14ac:dyDescent="0.2">
      <c r="A119">
        <v>118</v>
      </c>
      <c r="B119" t="s">
        <v>415</v>
      </c>
      <c r="C119" t="s">
        <v>416</v>
      </c>
      <c r="D119" t="s">
        <v>880</v>
      </c>
      <c r="E119" t="s">
        <v>409</v>
      </c>
      <c r="F119" t="s">
        <v>353</v>
      </c>
      <c r="G119">
        <v>22</v>
      </c>
      <c r="H119" s="75">
        <v>204.16</v>
      </c>
      <c r="I119" t="s">
        <v>410</v>
      </c>
      <c r="J119" t="s">
        <v>142</v>
      </c>
    </row>
    <row r="120" spans="1:10" x14ac:dyDescent="0.2">
      <c r="A120">
        <v>119</v>
      </c>
      <c r="B120" t="s">
        <v>417</v>
      </c>
      <c r="C120" t="s">
        <v>418</v>
      </c>
      <c r="D120" t="s">
        <v>881</v>
      </c>
      <c r="E120" t="s">
        <v>409</v>
      </c>
      <c r="F120" t="s">
        <v>353</v>
      </c>
      <c r="G120">
        <v>22</v>
      </c>
      <c r="H120" s="75">
        <v>204.16</v>
      </c>
      <c r="I120" t="s">
        <v>419</v>
      </c>
      <c r="J120" t="s">
        <v>142</v>
      </c>
    </row>
    <row r="121" spans="1:10" x14ac:dyDescent="0.2">
      <c r="A121">
        <v>120</v>
      </c>
      <c r="B121" t="s">
        <v>420</v>
      </c>
      <c r="C121" t="s">
        <v>421</v>
      </c>
      <c r="D121" t="s">
        <v>882</v>
      </c>
      <c r="E121" t="s">
        <v>409</v>
      </c>
      <c r="F121" t="s">
        <v>353</v>
      </c>
      <c r="G121">
        <v>22</v>
      </c>
      <c r="H121" s="75">
        <v>204.16</v>
      </c>
      <c r="I121" t="s">
        <v>419</v>
      </c>
      <c r="J121" t="s">
        <v>142</v>
      </c>
    </row>
    <row r="122" spans="1:10" x14ac:dyDescent="0.2">
      <c r="A122">
        <v>121</v>
      </c>
      <c r="B122" t="s">
        <v>334</v>
      </c>
      <c r="C122" t="s">
        <v>422</v>
      </c>
      <c r="D122" t="s">
        <v>883</v>
      </c>
      <c r="E122" t="s">
        <v>409</v>
      </c>
      <c r="F122" t="s">
        <v>353</v>
      </c>
      <c r="G122">
        <v>22</v>
      </c>
      <c r="H122" s="75">
        <v>204.16</v>
      </c>
      <c r="I122" t="s">
        <v>419</v>
      </c>
      <c r="J122" t="s">
        <v>142</v>
      </c>
    </row>
    <row r="123" spans="1:10" x14ac:dyDescent="0.2">
      <c r="A123">
        <v>122</v>
      </c>
      <c r="B123" t="s">
        <v>423</v>
      </c>
      <c r="C123" t="s">
        <v>424</v>
      </c>
      <c r="D123" t="s">
        <v>884</v>
      </c>
      <c r="E123" t="s">
        <v>409</v>
      </c>
      <c r="F123" t="s">
        <v>353</v>
      </c>
      <c r="G123">
        <v>16</v>
      </c>
      <c r="H123" s="75">
        <v>204.16</v>
      </c>
      <c r="I123" t="s">
        <v>158</v>
      </c>
      <c r="J123" t="s">
        <v>142</v>
      </c>
    </row>
    <row r="124" spans="1:10" x14ac:dyDescent="0.2">
      <c r="A124">
        <v>123</v>
      </c>
      <c r="B124" t="s">
        <v>425</v>
      </c>
      <c r="C124" t="s">
        <v>376</v>
      </c>
      <c r="D124" t="s">
        <v>885</v>
      </c>
      <c r="E124" t="s">
        <v>409</v>
      </c>
      <c r="F124" t="s">
        <v>353</v>
      </c>
      <c r="G124">
        <v>16</v>
      </c>
      <c r="H124" s="75">
        <v>204.16</v>
      </c>
      <c r="I124" t="s">
        <v>158</v>
      </c>
      <c r="J124" t="s">
        <v>142</v>
      </c>
    </row>
    <row r="125" spans="1:10" x14ac:dyDescent="0.2">
      <c r="A125">
        <v>124</v>
      </c>
      <c r="B125" t="s">
        <v>426</v>
      </c>
      <c r="C125" t="s">
        <v>427</v>
      </c>
      <c r="D125" t="s">
        <v>886</v>
      </c>
      <c r="E125" t="s">
        <v>409</v>
      </c>
      <c r="F125" t="s">
        <v>353</v>
      </c>
      <c r="G125">
        <v>16</v>
      </c>
      <c r="H125" s="75">
        <v>204.16</v>
      </c>
      <c r="I125" t="s">
        <v>158</v>
      </c>
      <c r="J125" t="s">
        <v>142</v>
      </c>
    </row>
    <row r="126" spans="1:10" x14ac:dyDescent="0.2">
      <c r="A126">
        <v>125</v>
      </c>
      <c r="B126" t="s">
        <v>428</v>
      </c>
      <c r="C126" t="s">
        <v>429</v>
      </c>
      <c r="D126" t="s">
        <v>887</v>
      </c>
      <c r="E126" t="s">
        <v>409</v>
      </c>
      <c r="F126" t="s">
        <v>353</v>
      </c>
      <c r="G126">
        <v>16</v>
      </c>
      <c r="H126" s="75">
        <v>204.16</v>
      </c>
      <c r="I126" t="s">
        <v>158</v>
      </c>
      <c r="J126" t="s">
        <v>142</v>
      </c>
    </row>
    <row r="127" spans="1:10" x14ac:dyDescent="0.2">
      <c r="A127">
        <v>126</v>
      </c>
      <c r="B127" t="s">
        <v>430</v>
      </c>
      <c r="C127" t="s">
        <v>431</v>
      </c>
      <c r="D127" t="s">
        <v>888</v>
      </c>
      <c r="E127" t="s">
        <v>409</v>
      </c>
      <c r="F127" t="s">
        <v>353</v>
      </c>
      <c r="G127">
        <v>16</v>
      </c>
      <c r="H127" s="75">
        <v>204.16</v>
      </c>
      <c r="I127" t="s">
        <v>158</v>
      </c>
      <c r="J127" t="s">
        <v>142</v>
      </c>
    </row>
    <row r="128" spans="1:10" x14ac:dyDescent="0.2">
      <c r="A128">
        <v>127</v>
      </c>
      <c r="B128" t="s">
        <v>200</v>
      </c>
      <c r="C128" t="s">
        <v>432</v>
      </c>
      <c r="D128" t="s">
        <v>889</v>
      </c>
      <c r="E128" t="s">
        <v>409</v>
      </c>
      <c r="F128" t="s">
        <v>353</v>
      </c>
      <c r="G128">
        <v>17</v>
      </c>
      <c r="H128" s="75">
        <v>204.16</v>
      </c>
      <c r="I128" t="s">
        <v>433</v>
      </c>
      <c r="J128" t="s">
        <v>142</v>
      </c>
    </row>
    <row r="129" spans="1:10" x14ac:dyDescent="0.2">
      <c r="A129">
        <v>128</v>
      </c>
      <c r="B129" t="s">
        <v>434</v>
      </c>
      <c r="C129" t="s">
        <v>435</v>
      </c>
      <c r="D129" t="s">
        <v>890</v>
      </c>
      <c r="E129" t="s">
        <v>409</v>
      </c>
      <c r="F129" t="s">
        <v>436</v>
      </c>
      <c r="G129">
        <v>17</v>
      </c>
      <c r="H129" s="75">
        <v>204.16</v>
      </c>
      <c r="I129" t="s">
        <v>433</v>
      </c>
      <c r="J129" t="s">
        <v>142</v>
      </c>
    </row>
    <row r="130" spans="1:10" x14ac:dyDescent="0.2">
      <c r="A130">
        <v>129</v>
      </c>
      <c r="B130" t="s">
        <v>437</v>
      </c>
      <c r="C130" t="s">
        <v>438</v>
      </c>
      <c r="D130" t="s">
        <v>891</v>
      </c>
      <c r="E130" t="s">
        <v>409</v>
      </c>
      <c r="F130" t="s">
        <v>353</v>
      </c>
      <c r="G130">
        <v>17</v>
      </c>
      <c r="H130" s="75">
        <v>204.16</v>
      </c>
      <c r="I130" t="s">
        <v>433</v>
      </c>
      <c r="J130" t="s">
        <v>142</v>
      </c>
    </row>
    <row r="131" spans="1:10" x14ac:dyDescent="0.2">
      <c r="A131">
        <v>130</v>
      </c>
      <c r="B131" t="s">
        <v>430</v>
      </c>
      <c r="C131" t="s">
        <v>439</v>
      </c>
      <c r="D131" t="s">
        <v>892</v>
      </c>
      <c r="E131" t="s">
        <v>409</v>
      </c>
      <c r="F131" t="s">
        <v>353</v>
      </c>
      <c r="G131">
        <v>16</v>
      </c>
      <c r="H131" s="75">
        <v>218.08</v>
      </c>
      <c r="I131" t="s">
        <v>158</v>
      </c>
      <c r="J131" t="s">
        <v>159</v>
      </c>
    </row>
    <row r="132" spans="1:10" x14ac:dyDescent="0.2">
      <c r="A132">
        <v>131</v>
      </c>
      <c r="B132" t="s">
        <v>440</v>
      </c>
      <c r="C132" t="s">
        <v>441</v>
      </c>
      <c r="D132" t="s">
        <v>893</v>
      </c>
      <c r="E132" t="s">
        <v>442</v>
      </c>
      <c r="F132" t="s">
        <v>353</v>
      </c>
      <c r="G132">
        <v>22</v>
      </c>
      <c r="H132" s="75">
        <v>204.16</v>
      </c>
      <c r="I132" t="s">
        <v>206</v>
      </c>
      <c r="J132" t="s">
        <v>142</v>
      </c>
    </row>
    <row r="133" spans="1:10" x14ac:dyDescent="0.2">
      <c r="A133">
        <v>132</v>
      </c>
      <c r="B133" t="s">
        <v>358</v>
      </c>
      <c r="C133" t="s">
        <v>443</v>
      </c>
      <c r="D133" t="s">
        <v>894</v>
      </c>
      <c r="E133" t="s">
        <v>442</v>
      </c>
      <c r="F133" t="s">
        <v>353</v>
      </c>
      <c r="G133">
        <v>22</v>
      </c>
      <c r="H133" s="75">
        <v>204.16</v>
      </c>
      <c r="I133" t="s">
        <v>206</v>
      </c>
      <c r="J133" t="s">
        <v>142</v>
      </c>
    </row>
    <row r="134" spans="1:10" x14ac:dyDescent="0.2">
      <c r="A134">
        <v>133</v>
      </c>
      <c r="B134" t="s">
        <v>444</v>
      </c>
      <c r="C134" t="s">
        <v>445</v>
      </c>
      <c r="D134" t="s">
        <v>895</v>
      </c>
      <c r="E134" t="s">
        <v>442</v>
      </c>
      <c r="F134" t="s">
        <v>353</v>
      </c>
      <c r="G134">
        <v>22</v>
      </c>
      <c r="H134" s="75">
        <v>204.16</v>
      </c>
      <c r="I134" t="s">
        <v>206</v>
      </c>
      <c r="J134" t="s">
        <v>142</v>
      </c>
    </row>
    <row r="135" spans="1:10" x14ac:dyDescent="0.2">
      <c r="A135">
        <v>134</v>
      </c>
      <c r="B135" t="s">
        <v>446</v>
      </c>
      <c r="C135" t="s">
        <v>447</v>
      </c>
      <c r="D135" t="s">
        <v>896</v>
      </c>
      <c r="E135" t="s">
        <v>448</v>
      </c>
      <c r="F135" t="s">
        <v>449</v>
      </c>
      <c r="G135">
        <v>17</v>
      </c>
      <c r="H135" s="75">
        <v>204.16</v>
      </c>
      <c r="I135" t="s">
        <v>450</v>
      </c>
      <c r="J135" t="s">
        <v>142</v>
      </c>
    </row>
    <row r="136" spans="1:10" x14ac:dyDescent="0.2">
      <c r="A136">
        <v>135</v>
      </c>
      <c r="B136" t="s">
        <v>451</v>
      </c>
      <c r="C136" t="s">
        <v>452</v>
      </c>
      <c r="D136" t="s">
        <v>897</v>
      </c>
      <c r="E136" t="s">
        <v>448</v>
      </c>
      <c r="F136" t="s">
        <v>449</v>
      </c>
      <c r="G136">
        <v>17</v>
      </c>
      <c r="H136" s="75">
        <v>204.16</v>
      </c>
      <c r="I136" t="s">
        <v>450</v>
      </c>
      <c r="J136" t="s">
        <v>142</v>
      </c>
    </row>
    <row r="137" spans="1:10" x14ac:dyDescent="0.2">
      <c r="A137">
        <v>136</v>
      </c>
      <c r="B137" t="s">
        <v>453</v>
      </c>
      <c r="C137" t="s">
        <v>454</v>
      </c>
      <c r="D137" t="s">
        <v>898</v>
      </c>
      <c r="E137" t="s">
        <v>455</v>
      </c>
      <c r="F137" t="s">
        <v>456</v>
      </c>
      <c r="G137">
        <v>22</v>
      </c>
      <c r="H137" s="75">
        <v>204.16</v>
      </c>
      <c r="I137" t="s">
        <v>457</v>
      </c>
      <c r="J137" t="s">
        <v>142</v>
      </c>
    </row>
    <row r="138" spans="1:10" x14ac:dyDescent="0.2">
      <c r="A138">
        <v>137</v>
      </c>
      <c r="B138" t="s">
        <v>458</v>
      </c>
      <c r="C138" t="s">
        <v>459</v>
      </c>
      <c r="D138" t="s">
        <v>899</v>
      </c>
      <c r="E138" t="s">
        <v>455</v>
      </c>
      <c r="F138" t="s">
        <v>456</v>
      </c>
      <c r="G138">
        <v>22</v>
      </c>
      <c r="H138" s="75">
        <v>204.16</v>
      </c>
      <c r="I138" t="s">
        <v>457</v>
      </c>
      <c r="J138" t="s">
        <v>142</v>
      </c>
    </row>
    <row r="139" spans="1:10" x14ac:dyDescent="0.2">
      <c r="A139">
        <v>138</v>
      </c>
      <c r="B139" t="s">
        <v>460</v>
      </c>
      <c r="C139" t="s">
        <v>461</v>
      </c>
      <c r="D139" t="s">
        <v>900</v>
      </c>
      <c r="E139" t="s">
        <v>455</v>
      </c>
      <c r="F139" t="s">
        <v>456</v>
      </c>
      <c r="G139">
        <v>21</v>
      </c>
      <c r="H139" s="75">
        <v>204.16</v>
      </c>
      <c r="I139" t="s">
        <v>462</v>
      </c>
      <c r="J139" t="s">
        <v>142</v>
      </c>
    </row>
    <row r="140" spans="1:10" x14ac:dyDescent="0.2">
      <c r="A140">
        <v>139</v>
      </c>
      <c r="B140" t="s">
        <v>463</v>
      </c>
      <c r="C140" t="s">
        <v>464</v>
      </c>
      <c r="D140" t="s">
        <v>901</v>
      </c>
      <c r="E140" t="s">
        <v>455</v>
      </c>
      <c r="F140" t="s">
        <v>456</v>
      </c>
      <c r="G140">
        <v>23</v>
      </c>
      <c r="H140" s="75">
        <v>204.16</v>
      </c>
      <c r="I140" t="s">
        <v>462</v>
      </c>
      <c r="J140" t="s">
        <v>142</v>
      </c>
    </row>
    <row r="141" spans="1:10" x14ac:dyDescent="0.2">
      <c r="A141">
        <v>140</v>
      </c>
      <c r="B141" t="s">
        <v>465</v>
      </c>
      <c r="C141" t="s">
        <v>466</v>
      </c>
      <c r="D141" t="s">
        <v>902</v>
      </c>
      <c r="E141" t="s">
        <v>467</v>
      </c>
      <c r="F141" t="s">
        <v>449</v>
      </c>
      <c r="G141">
        <v>22</v>
      </c>
      <c r="H141" s="75">
        <v>204.16</v>
      </c>
      <c r="I141" t="s">
        <v>468</v>
      </c>
      <c r="J141" t="s">
        <v>142</v>
      </c>
    </row>
    <row r="142" spans="1:10" x14ac:dyDescent="0.2">
      <c r="A142">
        <v>141</v>
      </c>
      <c r="B142" t="s">
        <v>469</v>
      </c>
      <c r="C142" t="s">
        <v>470</v>
      </c>
      <c r="D142" t="s">
        <v>903</v>
      </c>
      <c r="E142" t="s">
        <v>467</v>
      </c>
      <c r="F142" t="s">
        <v>449</v>
      </c>
      <c r="G142">
        <v>22</v>
      </c>
      <c r="H142" s="75">
        <v>204.16</v>
      </c>
      <c r="I142" t="s">
        <v>468</v>
      </c>
      <c r="J142" t="s">
        <v>142</v>
      </c>
    </row>
    <row r="143" spans="1:10" x14ac:dyDescent="0.2">
      <c r="A143">
        <v>142</v>
      </c>
      <c r="B143" t="s">
        <v>471</v>
      </c>
      <c r="C143" t="s">
        <v>472</v>
      </c>
      <c r="D143" t="s">
        <v>904</v>
      </c>
      <c r="E143" t="s">
        <v>467</v>
      </c>
      <c r="F143" t="s">
        <v>449</v>
      </c>
      <c r="G143">
        <v>22</v>
      </c>
      <c r="H143" s="75">
        <v>204.16</v>
      </c>
      <c r="I143" t="s">
        <v>468</v>
      </c>
      <c r="J143" t="s">
        <v>142</v>
      </c>
    </row>
    <row r="144" spans="1:10" x14ac:dyDescent="0.2">
      <c r="A144">
        <v>143</v>
      </c>
      <c r="B144" t="s">
        <v>473</v>
      </c>
      <c r="C144" t="s">
        <v>474</v>
      </c>
      <c r="D144" t="s">
        <v>905</v>
      </c>
      <c r="E144" t="s">
        <v>467</v>
      </c>
      <c r="F144" t="s">
        <v>449</v>
      </c>
      <c r="G144">
        <v>21</v>
      </c>
      <c r="H144" s="75">
        <v>204.16</v>
      </c>
      <c r="I144" t="s">
        <v>468</v>
      </c>
      <c r="J144" t="s">
        <v>142</v>
      </c>
    </row>
    <row r="145" spans="1:10" x14ac:dyDescent="0.2">
      <c r="A145">
        <v>144</v>
      </c>
      <c r="B145" t="s">
        <v>475</v>
      </c>
      <c r="C145" t="s">
        <v>476</v>
      </c>
      <c r="D145" t="s">
        <v>906</v>
      </c>
      <c r="E145" t="s">
        <v>467</v>
      </c>
      <c r="F145" t="s">
        <v>449</v>
      </c>
      <c r="G145">
        <v>22</v>
      </c>
      <c r="H145" s="75">
        <v>204.16</v>
      </c>
      <c r="I145" t="s">
        <v>364</v>
      </c>
      <c r="J145" t="s">
        <v>142</v>
      </c>
    </row>
    <row r="146" spans="1:10" x14ac:dyDescent="0.2">
      <c r="A146">
        <v>145</v>
      </c>
      <c r="B146" t="s">
        <v>477</v>
      </c>
      <c r="C146" t="s">
        <v>478</v>
      </c>
      <c r="D146" t="s">
        <v>907</v>
      </c>
      <c r="E146" t="s">
        <v>467</v>
      </c>
      <c r="F146" t="s">
        <v>449</v>
      </c>
      <c r="G146">
        <v>22</v>
      </c>
      <c r="H146" s="75">
        <v>204.16</v>
      </c>
      <c r="I146" t="s">
        <v>364</v>
      </c>
      <c r="J146" t="s">
        <v>142</v>
      </c>
    </row>
    <row r="147" spans="1:10" x14ac:dyDescent="0.2">
      <c r="A147">
        <v>146</v>
      </c>
      <c r="B147" t="s">
        <v>479</v>
      </c>
      <c r="C147" t="s">
        <v>480</v>
      </c>
      <c r="D147" t="s">
        <v>908</v>
      </c>
      <c r="E147" t="s">
        <v>467</v>
      </c>
      <c r="F147" t="s">
        <v>449</v>
      </c>
      <c r="G147">
        <v>22</v>
      </c>
      <c r="H147" s="75">
        <v>204.16</v>
      </c>
      <c r="I147" t="s">
        <v>364</v>
      </c>
      <c r="J147" t="s">
        <v>142</v>
      </c>
    </row>
    <row r="148" spans="1:10" x14ac:dyDescent="0.2">
      <c r="A148">
        <v>147</v>
      </c>
      <c r="B148" t="s">
        <v>481</v>
      </c>
      <c r="C148" t="s">
        <v>339</v>
      </c>
      <c r="D148" t="s">
        <v>909</v>
      </c>
      <c r="E148" t="s">
        <v>467</v>
      </c>
      <c r="F148" t="s">
        <v>449</v>
      </c>
      <c r="G148">
        <v>22</v>
      </c>
      <c r="H148" s="75">
        <v>204.16</v>
      </c>
      <c r="I148" t="s">
        <v>364</v>
      </c>
      <c r="J148" t="s">
        <v>142</v>
      </c>
    </row>
    <row r="149" spans="1:10" x14ac:dyDescent="0.2">
      <c r="A149">
        <v>148</v>
      </c>
      <c r="B149" t="s">
        <v>482</v>
      </c>
      <c r="C149" t="s">
        <v>483</v>
      </c>
      <c r="D149" t="s">
        <v>910</v>
      </c>
      <c r="E149" t="s">
        <v>467</v>
      </c>
      <c r="F149" t="s">
        <v>449</v>
      </c>
      <c r="G149">
        <v>22</v>
      </c>
      <c r="H149" s="75">
        <v>204.16</v>
      </c>
      <c r="I149" t="s">
        <v>364</v>
      </c>
      <c r="J149" t="s">
        <v>142</v>
      </c>
    </row>
    <row r="150" spans="1:10" x14ac:dyDescent="0.2">
      <c r="A150">
        <v>149</v>
      </c>
      <c r="B150" t="s">
        <v>484</v>
      </c>
      <c r="C150" t="s">
        <v>485</v>
      </c>
      <c r="D150" t="s">
        <v>911</v>
      </c>
      <c r="E150" t="s">
        <v>467</v>
      </c>
      <c r="F150" t="s">
        <v>449</v>
      </c>
      <c r="G150">
        <v>22</v>
      </c>
      <c r="H150" s="75">
        <v>204.16</v>
      </c>
      <c r="I150" t="s">
        <v>486</v>
      </c>
      <c r="J150" t="s">
        <v>142</v>
      </c>
    </row>
    <row r="151" spans="1:10" x14ac:dyDescent="0.2">
      <c r="A151">
        <v>150</v>
      </c>
      <c r="B151" t="s">
        <v>423</v>
      </c>
      <c r="C151" t="s">
        <v>487</v>
      </c>
      <c r="D151" t="s">
        <v>912</v>
      </c>
      <c r="E151" t="s">
        <v>467</v>
      </c>
      <c r="F151" t="s">
        <v>449</v>
      </c>
      <c r="G151">
        <v>22</v>
      </c>
      <c r="H151" s="75">
        <v>204.16</v>
      </c>
      <c r="I151" t="s">
        <v>486</v>
      </c>
      <c r="J151" t="s">
        <v>142</v>
      </c>
    </row>
    <row r="152" spans="1:10" x14ac:dyDescent="0.2">
      <c r="A152">
        <v>151</v>
      </c>
      <c r="B152" t="s">
        <v>488</v>
      </c>
      <c r="C152" t="s">
        <v>489</v>
      </c>
      <c r="D152" t="s">
        <v>913</v>
      </c>
      <c r="E152" t="s">
        <v>467</v>
      </c>
      <c r="F152" t="s">
        <v>449</v>
      </c>
      <c r="G152">
        <v>22</v>
      </c>
      <c r="H152" s="75">
        <v>204.16</v>
      </c>
      <c r="I152" t="s">
        <v>486</v>
      </c>
      <c r="J152" t="s">
        <v>142</v>
      </c>
    </row>
    <row r="153" spans="1:10" x14ac:dyDescent="0.2">
      <c r="A153">
        <v>152</v>
      </c>
      <c r="B153" t="s">
        <v>335</v>
      </c>
      <c r="C153" t="s">
        <v>490</v>
      </c>
      <c r="D153" t="s">
        <v>914</v>
      </c>
      <c r="E153" t="s">
        <v>467</v>
      </c>
      <c r="F153" t="s">
        <v>449</v>
      </c>
      <c r="G153">
        <v>22</v>
      </c>
      <c r="H153" s="75">
        <v>204.16</v>
      </c>
      <c r="I153" t="s">
        <v>486</v>
      </c>
      <c r="J153" t="s">
        <v>142</v>
      </c>
    </row>
    <row r="154" spans="1:10" x14ac:dyDescent="0.2">
      <c r="A154">
        <v>153</v>
      </c>
      <c r="B154" t="s">
        <v>491</v>
      </c>
      <c r="C154" t="s">
        <v>492</v>
      </c>
      <c r="D154" t="s">
        <v>915</v>
      </c>
      <c r="E154" t="s">
        <v>493</v>
      </c>
      <c r="F154" t="s">
        <v>449</v>
      </c>
      <c r="G154">
        <v>22</v>
      </c>
      <c r="H154" s="75">
        <v>204.16</v>
      </c>
      <c r="I154" t="s">
        <v>494</v>
      </c>
      <c r="J154" t="s">
        <v>142</v>
      </c>
    </row>
    <row r="155" spans="1:10" x14ac:dyDescent="0.2">
      <c r="A155">
        <v>154</v>
      </c>
      <c r="B155" t="s">
        <v>495</v>
      </c>
      <c r="C155" t="s">
        <v>496</v>
      </c>
      <c r="D155" t="s">
        <v>916</v>
      </c>
      <c r="E155" t="s">
        <v>493</v>
      </c>
      <c r="F155" t="s">
        <v>449</v>
      </c>
      <c r="G155">
        <v>22</v>
      </c>
      <c r="H155" s="75">
        <v>204.16</v>
      </c>
      <c r="I155" t="s">
        <v>219</v>
      </c>
      <c r="J155" t="s">
        <v>142</v>
      </c>
    </row>
    <row r="156" spans="1:10" x14ac:dyDescent="0.2">
      <c r="A156">
        <v>155</v>
      </c>
      <c r="B156" t="s">
        <v>488</v>
      </c>
      <c r="C156" t="s">
        <v>497</v>
      </c>
      <c r="D156" t="s">
        <v>917</v>
      </c>
      <c r="E156" t="s">
        <v>493</v>
      </c>
      <c r="F156" t="s">
        <v>449</v>
      </c>
      <c r="G156">
        <v>22</v>
      </c>
      <c r="H156" s="75">
        <v>204.16</v>
      </c>
      <c r="I156" t="s">
        <v>498</v>
      </c>
      <c r="J156" t="s">
        <v>142</v>
      </c>
    </row>
    <row r="157" spans="1:10" x14ac:dyDescent="0.2">
      <c r="A157">
        <v>156</v>
      </c>
      <c r="B157" t="s">
        <v>499</v>
      </c>
      <c r="C157" t="s">
        <v>500</v>
      </c>
      <c r="D157" t="s">
        <v>918</v>
      </c>
      <c r="E157" t="s">
        <v>493</v>
      </c>
      <c r="F157" t="s">
        <v>449</v>
      </c>
      <c r="G157">
        <v>22</v>
      </c>
      <c r="H157" s="75">
        <v>204.16</v>
      </c>
      <c r="I157" t="s">
        <v>498</v>
      </c>
      <c r="J157" t="s">
        <v>142</v>
      </c>
    </row>
    <row r="158" spans="1:10" x14ac:dyDescent="0.2">
      <c r="A158">
        <v>157</v>
      </c>
      <c r="B158" t="s">
        <v>501</v>
      </c>
      <c r="C158" t="s">
        <v>502</v>
      </c>
      <c r="D158" t="s">
        <v>919</v>
      </c>
      <c r="E158" t="s">
        <v>493</v>
      </c>
      <c r="F158" t="s">
        <v>449</v>
      </c>
      <c r="G158">
        <v>22</v>
      </c>
      <c r="H158" s="75">
        <v>204.16</v>
      </c>
      <c r="I158" t="s">
        <v>503</v>
      </c>
      <c r="J158" t="s">
        <v>142</v>
      </c>
    </row>
    <row r="159" spans="1:10" x14ac:dyDescent="0.2">
      <c r="A159">
        <v>158</v>
      </c>
      <c r="B159" t="s">
        <v>243</v>
      </c>
      <c r="C159" t="s">
        <v>504</v>
      </c>
      <c r="D159" t="s">
        <v>920</v>
      </c>
      <c r="E159" t="s">
        <v>505</v>
      </c>
      <c r="F159" t="s">
        <v>506</v>
      </c>
      <c r="G159">
        <v>22</v>
      </c>
      <c r="H159" s="75">
        <v>204.16</v>
      </c>
      <c r="I159" t="s">
        <v>507</v>
      </c>
      <c r="J159" t="s">
        <v>142</v>
      </c>
    </row>
    <row r="160" spans="1:10" x14ac:dyDescent="0.2">
      <c r="A160">
        <v>159</v>
      </c>
      <c r="B160" t="s">
        <v>335</v>
      </c>
      <c r="C160" t="s">
        <v>508</v>
      </c>
      <c r="D160" t="s">
        <v>921</v>
      </c>
      <c r="E160" t="s">
        <v>505</v>
      </c>
      <c r="F160" t="s">
        <v>506</v>
      </c>
      <c r="G160">
        <v>22</v>
      </c>
      <c r="H160" s="75">
        <v>204.16</v>
      </c>
      <c r="I160" t="s">
        <v>507</v>
      </c>
      <c r="J160" t="s">
        <v>142</v>
      </c>
    </row>
    <row r="161" spans="1:10" x14ac:dyDescent="0.2">
      <c r="A161">
        <v>160</v>
      </c>
      <c r="B161" t="s">
        <v>509</v>
      </c>
      <c r="C161" t="s">
        <v>510</v>
      </c>
      <c r="D161" t="s">
        <v>922</v>
      </c>
      <c r="E161" t="s">
        <v>505</v>
      </c>
      <c r="F161" t="s">
        <v>506</v>
      </c>
      <c r="G161">
        <v>22</v>
      </c>
      <c r="H161" s="75">
        <v>204.16</v>
      </c>
      <c r="I161" t="s">
        <v>507</v>
      </c>
      <c r="J161" t="s">
        <v>142</v>
      </c>
    </row>
    <row r="162" spans="1:10" x14ac:dyDescent="0.2">
      <c r="A162">
        <v>161</v>
      </c>
      <c r="B162" t="s">
        <v>389</v>
      </c>
      <c r="C162" t="s">
        <v>511</v>
      </c>
      <c r="D162" t="s">
        <v>923</v>
      </c>
      <c r="E162" t="s">
        <v>285</v>
      </c>
      <c r="F162" t="s">
        <v>506</v>
      </c>
      <c r="G162">
        <v>22</v>
      </c>
      <c r="H162" s="75">
        <v>204.16</v>
      </c>
      <c r="I162" t="s">
        <v>507</v>
      </c>
      <c r="J162" t="s">
        <v>142</v>
      </c>
    </row>
    <row r="163" spans="1:10" x14ac:dyDescent="0.2">
      <c r="A163">
        <v>162</v>
      </c>
      <c r="B163" t="s">
        <v>332</v>
      </c>
      <c r="C163" t="s">
        <v>512</v>
      </c>
      <c r="D163" t="s">
        <v>924</v>
      </c>
      <c r="E163" t="s">
        <v>505</v>
      </c>
      <c r="F163" t="s">
        <v>506</v>
      </c>
      <c r="G163">
        <v>22</v>
      </c>
      <c r="H163" s="75">
        <v>204.16</v>
      </c>
      <c r="I163" t="s">
        <v>507</v>
      </c>
      <c r="J163" t="s">
        <v>142</v>
      </c>
    </row>
    <row r="164" spans="1:10" x14ac:dyDescent="0.2">
      <c r="A164">
        <v>163</v>
      </c>
      <c r="B164" t="s">
        <v>513</v>
      </c>
      <c r="C164" t="s">
        <v>514</v>
      </c>
      <c r="D164" t="s">
        <v>925</v>
      </c>
      <c r="E164" t="s">
        <v>505</v>
      </c>
      <c r="F164" t="s">
        <v>506</v>
      </c>
      <c r="G164">
        <v>22</v>
      </c>
      <c r="H164" s="75">
        <v>204.16</v>
      </c>
      <c r="I164" t="s">
        <v>507</v>
      </c>
      <c r="J164" t="s">
        <v>142</v>
      </c>
    </row>
    <row r="165" spans="1:10" x14ac:dyDescent="0.2">
      <c r="A165">
        <v>164</v>
      </c>
      <c r="B165" t="s">
        <v>515</v>
      </c>
      <c r="C165" t="s">
        <v>516</v>
      </c>
      <c r="D165" t="s">
        <v>926</v>
      </c>
      <c r="E165" t="s">
        <v>517</v>
      </c>
      <c r="F165" t="s">
        <v>506</v>
      </c>
      <c r="G165">
        <v>22</v>
      </c>
      <c r="H165" s="75">
        <v>204.16</v>
      </c>
      <c r="I165" t="s">
        <v>518</v>
      </c>
      <c r="J165" t="s">
        <v>142</v>
      </c>
    </row>
    <row r="166" spans="1:10" x14ac:dyDescent="0.2">
      <c r="A166">
        <v>165</v>
      </c>
      <c r="B166" t="s">
        <v>519</v>
      </c>
      <c r="C166" t="s">
        <v>520</v>
      </c>
      <c r="D166" t="s">
        <v>927</v>
      </c>
      <c r="E166" t="s">
        <v>517</v>
      </c>
      <c r="F166" t="s">
        <v>506</v>
      </c>
      <c r="G166">
        <v>22</v>
      </c>
      <c r="H166" s="75">
        <v>204.16</v>
      </c>
      <c r="I166" t="s">
        <v>521</v>
      </c>
      <c r="J166" t="s">
        <v>142</v>
      </c>
    </row>
    <row r="167" spans="1:10" x14ac:dyDescent="0.2">
      <c r="A167">
        <v>166</v>
      </c>
      <c r="B167" t="s">
        <v>522</v>
      </c>
      <c r="C167" t="s">
        <v>523</v>
      </c>
      <c r="D167" t="s">
        <v>928</v>
      </c>
      <c r="E167" t="s">
        <v>517</v>
      </c>
      <c r="F167" t="s">
        <v>506</v>
      </c>
      <c r="G167">
        <v>22</v>
      </c>
      <c r="H167" s="75">
        <v>204.16</v>
      </c>
      <c r="I167" t="s">
        <v>364</v>
      </c>
      <c r="J167" t="s">
        <v>142</v>
      </c>
    </row>
    <row r="168" spans="1:10" x14ac:dyDescent="0.2">
      <c r="A168">
        <v>167</v>
      </c>
      <c r="B168" t="s">
        <v>524</v>
      </c>
      <c r="C168" t="s">
        <v>525</v>
      </c>
      <c r="D168" t="s">
        <v>929</v>
      </c>
      <c r="E168" t="s">
        <v>517</v>
      </c>
      <c r="F168" t="s">
        <v>506</v>
      </c>
      <c r="G168">
        <v>22</v>
      </c>
      <c r="H168" s="75">
        <v>204.16</v>
      </c>
      <c r="I168" t="s">
        <v>364</v>
      </c>
      <c r="J168" t="s">
        <v>142</v>
      </c>
    </row>
    <row r="169" spans="1:10" x14ac:dyDescent="0.2">
      <c r="A169">
        <v>168</v>
      </c>
      <c r="B169" t="s">
        <v>526</v>
      </c>
      <c r="C169" t="s">
        <v>527</v>
      </c>
      <c r="D169" t="s">
        <v>930</v>
      </c>
      <c r="E169" t="s">
        <v>493</v>
      </c>
      <c r="F169" t="s">
        <v>449</v>
      </c>
      <c r="G169">
        <v>22</v>
      </c>
      <c r="H169" s="75">
        <v>204.16</v>
      </c>
      <c r="I169" t="s">
        <v>219</v>
      </c>
      <c r="J169" t="s">
        <v>142</v>
      </c>
    </row>
    <row r="170" spans="1:10" x14ac:dyDescent="0.2">
      <c r="A170">
        <v>169</v>
      </c>
      <c r="B170" t="s">
        <v>397</v>
      </c>
      <c r="C170" t="s">
        <v>528</v>
      </c>
      <c r="D170" t="s">
        <v>931</v>
      </c>
      <c r="E170" t="s">
        <v>529</v>
      </c>
      <c r="F170" t="s">
        <v>506</v>
      </c>
      <c r="G170">
        <v>26</v>
      </c>
      <c r="H170" s="75">
        <v>204.16</v>
      </c>
      <c r="I170" t="s">
        <v>267</v>
      </c>
      <c r="J170" t="s">
        <v>142</v>
      </c>
    </row>
    <row r="171" spans="1:10" x14ac:dyDescent="0.2">
      <c r="A171">
        <v>170</v>
      </c>
      <c r="B171" t="s">
        <v>530</v>
      </c>
      <c r="C171" t="s">
        <v>531</v>
      </c>
      <c r="D171" t="s">
        <v>932</v>
      </c>
      <c r="E171" t="s">
        <v>529</v>
      </c>
      <c r="F171" t="s">
        <v>506</v>
      </c>
      <c r="G171">
        <v>26</v>
      </c>
      <c r="H171" s="75">
        <v>204.16</v>
      </c>
      <c r="I171" t="s">
        <v>267</v>
      </c>
      <c r="J171" t="s">
        <v>142</v>
      </c>
    </row>
    <row r="172" spans="1:10" x14ac:dyDescent="0.2">
      <c r="A172">
        <v>171</v>
      </c>
      <c r="B172" t="s">
        <v>463</v>
      </c>
      <c r="C172" t="s">
        <v>532</v>
      </c>
      <c r="D172" t="s">
        <v>933</v>
      </c>
      <c r="E172" t="s">
        <v>529</v>
      </c>
      <c r="F172" t="s">
        <v>506</v>
      </c>
      <c r="G172">
        <v>22</v>
      </c>
      <c r="H172" s="75">
        <v>204.16</v>
      </c>
      <c r="I172" t="s">
        <v>410</v>
      </c>
      <c r="J172" t="s">
        <v>142</v>
      </c>
    </row>
    <row r="173" spans="1:10" x14ac:dyDescent="0.2">
      <c r="A173">
        <v>172</v>
      </c>
      <c r="B173" t="s">
        <v>533</v>
      </c>
      <c r="C173" t="s">
        <v>534</v>
      </c>
      <c r="D173" t="s">
        <v>934</v>
      </c>
      <c r="E173" t="s">
        <v>529</v>
      </c>
      <c r="F173" t="s">
        <v>506</v>
      </c>
      <c r="G173">
        <v>22</v>
      </c>
      <c r="H173" s="75">
        <v>204.16</v>
      </c>
      <c r="I173" t="s">
        <v>410</v>
      </c>
      <c r="J173" t="s">
        <v>142</v>
      </c>
    </row>
    <row r="174" spans="1:10" x14ac:dyDescent="0.2">
      <c r="A174">
        <v>173</v>
      </c>
      <c r="B174" t="s">
        <v>535</v>
      </c>
      <c r="C174" t="s">
        <v>536</v>
      </c>
      <c r="D174" t="s">
        <v>935</v>
      </c>
      <c r="E174" t="s">
        <v>529</v>
      </c>
      <c r="F174" t="s">
        <v>506</v>
      </c>
      <c r="G174">
        <v>22</v>
      </c>
      <c r="H174" s="75">
        <v>204.16</v>
      </c>
      <c r="I174" t="s">
        <v>410</v>
      </c>
      <c r="J174" t="s">
        <v>142</v>
      </c>
    </row>
    <row r="175" spans="1:10" x14ac:dyDescent="0.2">
      <c r="A175">
        <v>174</v>
      </c>
      <c r="B175" t="s">
        <v>537</v>
      </c>
      <c r="C175" t="s">
        <v>538</v>
      </c>
      <c r="D175" t="s">
        <v>936</v>
      </c>
      <c r="E175" t="s">
        <v>529</v>
      </c>
      <c r="F175" t="s">
        <v>506</v>
      </c>
      <c r="G175">
        <v>22</v>
      </c>
      <c r="H175" s="75">
        <v>204.16</v>
      </c>
      <c r="I175" t="s">
        <v>410</v>
      </c>
      <c r="J175" t="s">
        <v>142</v>
      </c>
    </row>
    <row r="176" spans="1:10" x14ac:dyDescent="0.2">
      <c r="A176">
        <v>175</v>
      </c>
      <c r="B176" t="s">
        <v>539</v>
      </c>
      <c r="C176" t="s">
        <v>540</v>
      </c>
      <c r="D176" t="s">
        <v>937</v>
      </c>
      <c r="E176" t="s">
        <v>529</v>
      </c>
      <c r="F176" t="s">
        <v>506</v>
      </c>
      <c r="G176">
        <v>22</v>
      </c>
      <c r="H176" s="75">
        <v>204.16</v>
      </c>
      <c r="I176" t="s">
        <v>410</v>
      </c>
      <c r="J176" t="s">
        <v>142</v>
      </c>
    </row>
    <row r="177" spans="1:10" x14ac:dyDescent="0.2">
      <c r="A177">
        <v>176</v>
      </c>
      <c r="B177" t="s">
        <v>541</v>
      </c>
      <c r="C177" t="s">
        <v>542</v>
      </c>
      <c r="D177" t="s">
        <v>938</v>
      </c>
      <c r="E177" t="s">
        <v>529</v>
      </c>
      <c r="F177" t="s">
        <v>506</v>
      </c>
      <c r="G177">
        <v>22</v>
      </c>
      <c r="H177" s="75">
        <v>204.16</v>
      </c>
      <c r="I177" t="s">
        <v>410</v>
      </c>
      <c r="J177" t="s">
        <v>142</v>
      </c>
    </row>
    <row r="178" spans="1:10" x14ac:dyDescent="0.2">
      <c r="A178">
        <v>177</v>
      </c>
      <c r="B178" t="s">
        <v>543</v>
      </c>
      <c r="C178" t="s">
        <v>544</v>
      </c>
      <c r="D178" t="s">
        <v>939</v>
      </c>
      <c r="E178" t="s">
        <v>529</v>
      </c>
      <c r="F178" t="s">
        <v>506</v>
      </c>
      <c r="G178">
        <v>22</v>
      </c>
      <c r="H178" s="75">
        <v>204.16</v>
      </c>
      <c r="I178" t="s">
        <v>410</v>
      </c>
      <c r="J178" t="s">
        <v>142</v>
      </c>
    </row>
    <row r="179" spans="1:10" x14ac:dyDescent="0.2">
      <c r="A179">
        <v>178</v>
      </c>
      <c r="B179" t="s">
        <v>545</v>
      </c>
      <c r="C179" t="s">
        <v>546</v>
      </c>
      <c r="D179" t="s">
        <v>940</v>
      </c>
      <c r="E179" t="s">
        <v>529</v>
      </c>
      <c r="F179" t="s">
        <v>506</v>
      </c>
      <c r="G179">
        <v>22</v>
      </c>
      <c r="H179" s="75">
        <v>204.16</v>
      </c>
      <c r="I179" t="s">
        <v>410</v>
      </c>
      <c r="J179" t="s">
        <v>142</v>
      </c>
    </row>
    <row r="180" spans="1:10" x14ac:dyDescent="0.2">
      <c r="A180">
        <v>179</v>
      </c>
      <c r="B180" t="s">
        <v>547</v>
      </c>
      <c r="C180" t="s">
        <v>548</v>
      </c>
      <c r="D180" t="s">
        <v>941</v>
      </c>
      <c r="E180" t="s">
        <v>529</v>
      </c>
      <c r="F180" t="s">
        <v>506</v>
      </c>
      <c r="G180">
        <v>22</v>
      </c>
      <c r="H180" s="75">
        <v>204.16</v>
      </c>
      <c r="I180" t="s">
        <v>410</v>
      </c>
      <c r="J180" t="s">
        <v>142</v>
      </c>
    </row>
    <row r="181" spans="1:10" x14ac:dyDescent="0.2">
      <c r="A181">
        <v>180</v>
      </c>
      <c r="B181" t="s">
        <v>549</v>
      </c>
      <c r="C181" t="s">
        <v>550</v>
      </c>
      <c r="D181" t="s">
        <v>942</v>
      </c>
      <c r="E181" t="s">
        <v>529</v>
      </c>
      <c r="F181" t="s">
        <v>506</v>
      </c>
      <c r="G181">
        <v>22</v>
      </c>
      <c r="H181" s="75">
        <v>204.16</v>
      </c>
      <c r="I181" t="s">
        <v>410</v>
      </c>
      <c r="J181" t="s">
        <v>142</v>
      </c>
    </row>
    <row r="182" spans="1:10" x14ac:dyDescent="0.2">
      <c r="A182">
        <v>181</v>
      </c>
      <c r="B182" t="s">
        <v>209</v>
      </c>
      <c r="C182" t="s">
        <v>551</v>
      </c>
      <c r="D182" t="s">
        <v>943</v>
      </c>
      <c r="E182" t="s">
        <v>529</v>
      </c>
      <c r="F182" t="s">
        <v>506</v>
      </c>
      <c r="G182">
        <v>22</v>
      </c>
      <c r="H182" s="75">
        <v>204.16</v>
      </c>
      <c r="I182" t="s">
        <v>410</v>
      </c>
      <c r="J182" t="s">
        <v>142</v>
      </c>
    </row>
    <row r="183" spans="1:10" x14ac:dyDescent="0.2">
      <c r="A183">
        <v>182</v>
      </c>
      <c r="B183" t="s">
        <v>552</v>
      </c>
      <c r="C183" t="s">
        <v>553</v>
      </c>
      <c r="D183" t="s">
        <v>944</v>
      </c>
      <c r="E183" t="s">
        <v>529</v>
      </c>
      <c r="F183" t="s">
        <v>506</v>
      </c>
      <c r="G183">
        <v>22</v>
      </c>
      <c r="H183" s="75">
        <v>204.16</v>
      </c>
      <c r="I183" t="s">
        <v>410</v>
      </c>
      <c r="J183" t="s">
        <v>142</v>
      </c>
    </row>
    <row r="184" spans="1:10" x14ac:dyDescent="0.2">
      <c r="A184">
        <v>183</v>
      </c>
      <c r="B184" t="s">
        <v>479</v>
      </c>
      <c r="C184" t="s">
        <v>554</v>
      </c>
      <c r="D184" t="s">
        <v>945</v>
      </c>
      <c r="E184" t="s">
        <v>529</v>
      </c>
      <c r="F184" t="s">
        <v>506</v>
      </c>
      <c r="G184">
        <v>22</v>
      </c>
      <c r="H184" s="75">
        <v>204.16</v>
      </c>
      <c r="I184" t="s">
        <v>410</v>
      </c>
      <c r="J184" t="s">
        <v>142</v>
      </c>
    </row>
    <row r="185" spans="1:10" x14ac:dyDescent="0.2">
      <c r="A185">
        <v>184</v>
      </c>
      <c r="B185" t="s">
        <v>555</v>
      </c>
      <c r="C185" t="s">
        <v>556</v>
      </c>
      <c r="D185" t="s">
        <v>946</v>
      </c>
      <c r="E185" t="s">
        <v>529</v>
      </c>
      <c r="F185" t="s">
        <v>506</v>
      </c>
      <c r="G185">
        <v>22</v>
      </c>
      <c r="H185" s="75">
        <v>204.16</v>
      </c>
      <c r="I185" t="s">
        <v>410</v>
      </c>
      <c r="J185" t="s">
        <v>142</v>
      </c>
    </row>
    <row r="186" spans="1:10" x14ac:dyDescent="0.2">
      <c r="A186">
        <v>185</v>
      </c>
      <c r="B186" t="s">
        <v>475</v>
      </c>
      <c r="C186" t="s">
        <v>557</v>
      </c>
      <c r="D186" t="s">
        <v>947</v>
      </c>
      <c r="E186" t="s">
        <v>529</v>
      </c>
      <c r="F186" t="s">
        <v>506</v>
      </c>
      <c r="G186">
        <v>22</v>
      </c>
      <c r="H186" s="75">
        <v>218.08</v>
      </c>
      <c r="I186" t="s">
        <v>410</v>
      </c>
      <c r="J186" t="s">
        <v>159</v>
      </c>
    </row>
    <row r="187" spans="1:10" x14ac:dyDescent="0.2">
      <c r="A187">
        <v>186</v>
      </c>
      <c r="B187" t="s">
        <v>558</v>
      </c>
      <c r="C187" t="s">
        <v>559</v>
      </c>
      <c r="D187" t="s">
        <v>948</v>
      </c>
      <c r="E187" t="s">
        <v>560</v>
      </c>
      <c r="F187" t="s">
        <v>561</v>
      </c>
      <c r="G187">
        <v>22</v>
      </c>
      <c r="H187" s="75">
        <v>204.16</v>
      </c>
      <c r="I187" t="s">
        <v>419</v>
      </c>
      <c r="J187" t="s">
        <v>142</v>
      </c>
    </row>
    <row r="188" spans="1:10" x14ac:dyDescent="0.2">
      <c r="A188">
        <v>187</v>
      </c>
      <c r="B188" t="s">
        <v>562</v>
      </c>
      <c r="C188" t="s">
        <v>563</v>
      </c>
      <c r="D188" t="s">
        <v>949</v>
      </c>
      <c r="E188" t="s">
        <v>560</v>
      </c>
      <c r="F188" t="s">
        <v>561</v>
      </c>
      <c r="G188">
        <v>22</v>
      </c>
      <c r="H188" s="75">
        <v>204.16</v>
      </c>
      <c r="I188" t="s">
        <v>419</v>
      </c>
      <c r="J188" t="s">
        <v>142</v>
      </c>
    </row>
    <row r="189" spans="1:10" x14ac:dyDescent="0.2">
      <c r="A189">
        <v>188</v>
      </c>
      <c r="B189" t="s">
        <v>564</v>
      </c>
      <c r="C189" t="s">
        <v>565</v>
      </c>
      <c r="D189" t="s">
        <v>950</v>
      </c>
      <c r="E189" t="s">
        <v>560</v>
      </c>
      <c r="F189" t="s">
        <v>561</v>
      </c>
      <c r="G189">
        <v>22</v>
      </c>
      <c r="H189" s="75">
        <v>204.16</v>
      </c>
      <c r="I189" t="s">
        <v>566</v>
      </c>
      <c r="J189" t="s">
        <v>142</v>
      </c>
    </row>
    <row r="190" spans="1:10" x14ac:dyDescent="0.2">
      <c r="A190">
        <v>189</v>
      </c>
      <c r="B190" t="s">
        <v>567</v>
      </c>
      <c r="C190" t="s">
        <v>568</v>
      </c>
      <c r="D190" t="s">
        <v>951</v>
      </c>
      <c r="E190" t="s">
        <v>560</v>
      </c>
      <c r="F190" t="s">
        <v>561</v>
      </c>
      <c r="G190">
        <v>22</v>
      </c>
      <c r="H190" s="75">
        <v>204.16</v>
      </c>
      <c r="I190" t="s">
        <v>566</v>
      </c>
      <c r="J190" t="s">
        <v>142</v>
      </c>
    </row>
    <row r="191" spans="1:10" x14ac:dyDescent="0.2">
      <c r="A191">
        <v>190</v>
      </c>
      <c r="B191" t="s">
        <v>569</v>
      </c>
      <c r="C191" t="s">
        <v>570</v>
      </c>
      <c r="D191" t="s">
        <v>952</v>
      </c>
      <c r="E191" t="s">
        <v>560</v>
      </c>
      <c r="F191" t="s">
        <v>561</v>
      </c>
      <c r="G191">
        <v>22</v>
      </c>
      <c r="H191" s="75">
        <v>204.16</v>
      </c>
      <c r="I191" t="s">
        <v>566</v>
      </c>
      <c r="J191" t="s">
        <v>142</v>
      </c>
    </row>
    <row r="192" spans="1:10" x14ac:dyDescent="0.2">
      <c r="A192">
        <v>191</v>
      </c>
      <c r="B192" t="s">
        <v>571</v>
      </c>
      <c r="C192" t="s">
        <v>572</v>
      </c>
      <c r="D192" t="s">
        <v>953</v>
      </c>
      <c r="E192" t="s">
        <v>573</v>
      </c>
      <c r="F192" t="s">
        <v>506</v>
      </c>
      <c r="G192">
        <v>22</v>
      </c>
      <c r="H192" s="75">
        <v>204.16</v>
      </c>
      <c r="I192" t="s">
        <v>574</v>
      </c>
      <c r="J192" t="s">
        <v>142</v>
      </c>
    </row>
    <row r="193" spans="1:10" x14ac:dyDescent="0.2">
      <c r="A193">
        <v>192</v>
      </c>
      <c r="B193" t="s">
        <v>575</v>
      </c>
      <c r="C193" t="s">
        <v>576</v>
      </c>
      <c r="D193" t="s">
        <v>954</v>
      </c>
      <c r="E193" t="s">
        <v>573</v>
      </c>
      <c r="F193" t="s">
        <v>561</v>
      </c>
      <c r="G193">
        <v>22</v>
      </c>
      <c r="H193" s="75">
        <v>204.16</v>
      </c>
      <c r="I193" t="s">
        <v>577</v>
      </c>
      <c r="J193" t="s">
        <v>142</v>
      </c>
    </row>
    <row r="194" spans="1:10" x14ac:dyDescent="0.2">
      <c r="A194">
        <v>193</v>
      </c>
      <c r="B194" t="s">
        <v>578</v>
      </c>
      <c r="C194" t="s">
        <v>579</v>
      </c>
      <c r="D194" t="s">
        <v>955</v>
      </c>
      <c r="E194" t="s">
        <v>580</v>
      </c>
      <c r="F194" t="s">
        <v>561</v>
      </c>
      <c r="G194">
        <v>22</v>
      </c>
      <c r="H194" s="75">
        <v>204.16</v>
      </c>
      <c r="I194" t="s">
        <v>581</v>
      </c>
      <c r="J194" t="s">
        <v>142</v>
      </c>
    </row>
    <row r="195" spans="1:10" x14ac:dyDescent="0.2">
      <c r="A195">
        <v>194</v>
      </c>
      <c r="B195" t="s">
        <v>582</v>
      </c>
      <c r="C195" t="s">
        <v>583</v>
      </c>
      <c r="D195" t="s">
        <v>956</v>
      </c>
      <c r="E195" t="s">
        <v>580</v>
      </c>
      <c r="F195" t="s">
        <v>561</v>
      </c>
      <c r="G195">
        <v>22</v>
      </c>
      <c r="H195" s="75">
        <v>204.16</v>
      </c>
      <c r="I195" t="s">
        <v>584</v>
      </c>
      <c r="J195" t="s">
        <v>142</v>
      </c>
    </row>
    <row r="196" spans="1:10" x14ac:dyDescent="0.2">
      <c r="A196">
        <v>195</v>
      </c>
      <c r="B196" t="s">
        <v>389</v>
      </c>
      <c r="C196" t="s">
        <v>585</v>
      </c>
      <c r="D196" t="s">
        <v>957</v>
      </c>
      <c r="E196" t="s">
        <v>580</v>
      </c>
      <c r="F196" t="s">
        <v>561</v>
      </c>
      <c r="G196">
        <v>22</v>
      </c>
      <c r="H196" s="75">
        <v>204.16</v>
      </c>
      <c r="I196" t="s">
        <v>403</v>
      </c>
      <c r="J196" t="s">
        <v>142</v>
      </c>
    </row>
    <row r="197" spans="1:10" x14ac:dyDescent="0.2">
      <c r="A197">
        <v>196</v>
      </c>
      <c r="B197" t="s">
        <v>586</v>
      </c>
      <c r="C197" t="s">
        <v>587</v>
      </c>
      <c r="D197" t="s">
        <v>958</v>
      </c>
      <c r="E197" t="s">
        <v>588</v>
      </c>
      <c r="F197" t="s">
        <v>561</v>
      </c>
      <c r="G197">
        <v>17</v>
      </c>
      <c r="H197" s="75">
        <v>204.16</v>
      </c>
      <c r="I197" t="s">
        <v>433</v>
      </c>
      <c r="J197" t="s">
        <v>142</v>
      </c>
    </row>
    <row r="198" spans="1:10" x14ac:dyDescent="0.2">
      <c r="A198">
        <v>197</v>
      </c>
      <c r="B198" t="s">
        <v>589</v>
      </c>
      <c r="C198" t="s">
        <v>590</v>
      </c>
      <c r="D198" t="s">
        <v>959</v>
      </c>
      <c r="E198" t="s">
        <v>588</v>
      </c>
      <c r="F198" t="s">
        <v>561</v>
      </c>
      <c r="G198">
        <v>17</v>
      </c>
      <c r="H198" s="75">
        <v>204.16</v>
      </c>
      <c r="I198" t="s">
        <v>433</v>
      </c>
      <c r="J198" t="s">
        <v>142</v>
      </c>
    </row>
    <row r="199" spans="1:10" x14ac:dyDescent="0.2">
      <c r="A199">
        <v>198</v>
      </c>
      <c r="B199" t="s">
        <v>591</v>
      </c>
      <c r="C199" t="s">
        <v>592</v>
      </c>
      <c r="D199" t="s">
        <v>960</v>
      </c>
      <c r="E199" t="s">
        <v>593</v>
      </c>
      <c r="F199" t="s">
        <v>594</v>
      </c>
      <c r="G199">
        <v>17</v>
      </c>
      <c r="H199" s="75">
        <v>204.16</v>
      </c>
      <c r="I199" t="s">
        <v>595</v>
      </c>
      <c r="J199" t="s">
        <v>142</v>
      </c>
    </row>
    <row r="200" spans="1:10" x14ac:dyDescent="0.2">
      <c r="A200">
        <v>199</v>
      </c>
      <c r="B200" t="s">
        <v>596</v>
      </c>
      <c r="C200" t="s">
        <v>597</v>
      </c>
      <c r="D200" t="s">
        <v>961</v>
      </c>
      <c r="E200" t="s">
        <v>593</v>
      </c>
      <c r="F200" t="s">
        <v>594</v>
      </c>
      <c r="G200">
        <v>17</v>
      </c>
      <c r="H200" s="75">
        <v>204.16</v>
      </c>
      <c r="I200" t="s">
        <v>595</v>
      </c>
      <c r="J200" t="s">
        <v>142</v>
      </c>
    </row>
    <row r="201" spans="1:10" x14ac:dyDescent="0.2">
      <c r="A201">
        <v>200</v>
      </c>
      <c r="B201" t="s">
        <v>598</v>
      </c>
      <c r="C201" t="s">
        <v>599</v>
      </c>
      <c r="D201" t="s">
        <v>962</v>
      </c>
      <c r="E201" t="s">
        <v>593</v>
      </c>
      <c r="F201" t="s">
        <v>594</v>
      </c>
      <c r="G201">
        <v>17</v>
      </c>
      <c r="H201" s="75">
        <v>204.16</v>
      </c>
      <c r="I201" t="s">
        <v>600</v>
      </c>
      <c r="J201" t="s">
        <v>142</v>
      </c>
    </row>
    <row r="202" spans="1:10" x14ac:dyDescent="0.2">
      <c r="A202">
        <v>201</v>
      </c>
      <c r="B202" t="s">
        <v>601</v>
      </c>
      <c r="C202" t="s">
        <v>602</v>
      </c>
      <c r="D202" t="s">
        <v>963</v>
      </c>
      <c r="E202" t="s">
        <v>593</v>
      </c>
      <c r="F202" t="s">
        <v>594</v>
      </c>
      <c r="G202">
        <v>22</v>
      </c>
      <c r="H202" s="75">
        <v>204.16</v>
      </c>
      <c r="I202" t="s">
        <v>603</v>
      </c>
      <c r="J202" t="s">
        <v>142</v>
      </c>
    </row>
    <row r="203" spans="1:10" x14ac:dyDescent="0.2">
      <c r="A203">
        <v>202</v>
      </c>
      <c r="B203" t="s">
        <v>604</v>
      </c>
      <c r="C203" t="s">
        <v>605</v>
      </c>
      <c r="D203" t="s">
        <v>964</v>
      </c>
      <c r="E203" t="s">
        <v>593</v>
      </c>
      <c r="F203" t="s">
        <v>594</v>
      </c>
      <c r="G203">
        <v>22</v>
      </c>
      <c r="H203" s="75">
        <v>204.16</v>
      </c>
      <c r="I203" t="s">
        <v>462</v>
      </c>
      <c r="J203" t="s">
        <v>142</v>
      </c>
    </row>
    <row r="204" spans="1:10" x14ac:dyDescent="0.2">
      <c r="A204">
        <v>203</v>
      </c>
      <c r="B204" t="s">
        <v>606</v>
      </c>
      <c r="C204" t="s">
        <v>607</v>
      </c>
      <c r="D204" t="s">
        <v>965</v>
      </c>
      <c r="E204" t="s">
        <v>593</v>
      </c>
      <c r="F204" t="s">
        <v>594</v>
      </c>
      <c r="G204">
        <v>22</v>
      </c>
      <c r="H204" s="75">
        <v>204.16</v>
      </c>
      <c r="I204" t="s">
        <v>608</v>
      </c>
      <c r="J204" t="s">
        <v>142</v>
      </c>
    </row>
    <row r="205" spans="1:10" x14ac:dyDescent="0.2">
      <c r="A205">
        <v>204</v>
      </c>
      <c r="B205" t="s">
        <v>609</v>
      </c>
      <c r="C205" t="s">
        <v>610</v>
      </c>
      <c r="D205" t="s">
        <v>966</v>
      </c>
      <c r="E205" t="s">
        <v>593</v>
      </c>
      <c r="F205" t="s">
        <v>594</v>
      </c>
      <c r="G205">
        <v>22</v>
      </c>
      <c r="H205" s="75">
        <v>204.16</v>
      </c>
      <c r="I205" t="s">
        <v>611</v>
      </c>
      <c r="J205" t="s">
        <v>142</v>
      </c>
    </row>
    <row r="206" spans="1:10" x14ac:dyDescent="0.2">
      <c r="A206">
        <v>205</v>
      </c>
      <c r="B206" t="s">
        <v>612</v>
      </c>
      <c r="C206" t="s">
        <v>613</v>
      </c>
      <c r="D206" t="s">
        <v>967</v>
      </c>
      <c r="E206" t="s">
        <v>593</v>
      </c>
      <c r="F206" t="s">
        <v>594</v>
      </c>
      <c r="G206">
        <v>22</v>
      </c>
      <c r="H206" s="75">
        <v>218.08</v>
      </c>
      <c r="I206" t="s">
        <v>614</v>
      </c>
      <c r="J206" t="s">
        <v>159</v>
      </c>
    </row>
    <row r="207" spans="1:10" x14ac:dyDescent="0.2">
      <c r="A207">
        <v>206</v>
      </c>
      <c r="B207" t="s">
        <v>615</v>
      </c>
      <c r="C207" t="s">
        <v>616</v>
      </c>
      <c r="D207" t="s">
        <v>968</v>
      </c>
      <c r="E207" t="s">
        <v>593</v>
      </c>
      <c r="F207" t="s">
        <v>594</v>
      </c>
      <c r="G207">
        <v>22</v>
      </c>
      <c r="H207" s="75">
        <v>204.16</v>
      </c>
      <c r="I207" t="s">
        <v>614</v>
      </c>
      <c r="J207" t="s">
        <v>142</v>
      </c>
    </row>
    <row r="208" spans="1:10" x14ac:dyDescent="0.2">
      <c r="A208">
        <v>207</v>
      </c>
      <c r="B208" t="s">
        <v>617</v>
      </c>
      <c r="C208" t="s">
        <v>618</v>
      </c>
      <c r="D208" t="s">
        <v>969</v>
      </c>
      <c r="E208" t="s">
        <v>593</v>
      </c>
      <c r="F208" t="s">
        <v>594</v>
      </c>
      <c r="G208">
        <v>22</v>
      </c>
      <c r="H208" s="75">
        <v>204.16</v>
      </c>
      <c r="I208" t="s">
        <v>614</v>
      </c>
      <c r="J208" t="s">
        <v>142</v>
      </c>
    </row>
    <row r="209" spans="1:10" x14ac:dyDescent="0.2">
      <c r="A209">
        <v>208</v>
      </c>
      <c r="B209" t="s">
        <v>619</v>
      </c>
      <c r="C209" t="s">
        <v>620</v>
      </c>
      <c r="D209" t="s">
        <v>970</v>
      </c>
      <c r="E209" t="s">
        <v>593</v>
      </c>
      <c r="F209" t="s">
        <v>594</v>
      </c>
      <c r="G209">
        <v>22</v>
      </c>
      <c r="H209" s="75">
        <v>204.16</v>
      </c>
      <c r="I209" t="s">
        <v>614</v>
      </c>
      <c r="J209" t="s">
        <v>142</v>
      </c>
    </row>
    <row r="210" spans="1:10" x14ac:dyDescent="0.2">
      <c r="A210">
        <v>209</v>
      </c>
      <c r="B210" t="s">
        <v>621</v>
      </c>
      <c r="C210" t="s">
        <v>622</v>
      </c>
      <c r="D210" t="s">
        <v>971</v>
      </c>
      <c r="E210" t="s">
        <v>593</v>
      </c>
      <c r="F210" t="s">
        <v>594</v>
      </c>
      <c r="G210">
        <v>22</v>
      </c>
      <c r="H210" s="75">
        <v>204.16</v>
      </c>
      <c r="I210" t="s">
        <v>614</v>
      </c>
      <c r="J210" t="s">
        <v>142</v>
      </c>
    </row>
    <row r="211" spans="1:10" x14ac:dyDescent="0.2">
      <c r="A211">
        <v>210</v>
      </c>
      <c r="B211" t="s">
        <v>226</v>
      </c>
      <c r="C211" t="s">
        <v>623</v>
      </c>
      <c r="D211" t="s">
        <v>972</v>
      </c>
      <c r="E211" t="s">
        <v>593</v>
      </c>
      <c r="F211" t="s">
        <v>594</v>
      </c>
      <c r="G211">
        <v>22</v>
      </c>
      <c r="H211" s="75">
        <v>204.16</v>
      </c>
      <c r="I211" t="s">
        <v>614</v>
      </c>
      <c r="J211" t="s">
        <v>142</v>
      </c>
    </row>
    <row r="212" spans="1:10" x14ac:dyDescent="0.2">
      <c r="A212">
        <v>211</v>
      </c>
      <c r="B212" t="s">
        <v>624</v>
      </c>
      <c r="C212" t="s">
        <v>625</v>
      </c>
      <c r="D212" t="s">
        <v>973</v>
      </c>
      <c r="E212" t="s">
        <v>593</v>
      </c>
      <c r="F212" t="s">
        <v>594</v>
      </c>
      <c r="G212">
        <v>22</v>
      </c>
      <c r="H212" s="75">
        <v>204.16</v>
      </c>
      <c r="I212" t="s">
        <v>614</v>
      </c>
      <c r="J212" t="s">
        <v>142</v>
      </c>
    </row>
    <row r="213" spans="1:10" x14ac:dyDescent="0.2">
      <c r="A213">
        <v>212</v>
      </c>
      <c r="B213" t="s">
        <v>355</v>
      </c>
      <c r="C213" t="s">
        <v>626</v>
      </c>
      <c r="D213" t="s">
        <v>974</v>
      </c>
      <c r="E213" t="s">
        <v>593</v>
      </c>
      <c r="F213" t="s">
        <v>594</v>
      </c>
      <c r="G213">
        <v>22</v>
      </c>
      <c r="H213" s="75">
        <v>204.16</v>
      </c>
      <c r="I213" t="s">
        <v>614</v>
      </c>
      <c r="J213" t="s">
        <v>142</v>
      </c>
    </row>
    <row r="214" spans="1:10" x14ac:dyDescent="0.2">
      <c r="A214">
        <v>213</v>
      </c>
      <c r="B214" t="s">
        <v>332</v>
      </c>
      <c r="C214" t="s">
        <v>627</v>
      </c>
      <c r="D214" t="s">
        <v>975</v>
      </c>
      <c r="E214" t="s">
        <v>593</v>
      </c>
      <c r="F214" t="s">
        <v>594</v>
      </c>
      <c r="G214">
        <v>22</v>
      </c>
      <c r="H214" s="75">
        <v>204.16</v>
      </c>
      <c r="I214" t="s">
        <v>614</v>
      </c>
      <c r="J214" t="s">
        <v>142</v>
      </c>
    </row>
    <row r="215" spans="1:10" x14ac:dyDescent="0.2">
      <c r="A215">
        <v>214</v>
      </c>
      <c r="B215" t="s">
        <v>628</v>
      </c>
      <c r="C215" t="s">
        <v>629</v>
      </c>
      <c r="D215" t="s">
        <v>976</v>
      </c>
      <c r="E215" t="s">
        <v>593</v>
      </c>
      <c r="F215" t="s">
        <v>594</v>
      </c>
      <c r="G215">
        <v>18</v>
      </c>
      <c r="H215" s="75">
        <v>204.16</v>
      </c>
      <c r="I215" t="s">
        <v>614</v>
      </c>
      <c r="J215" t="s">
        <v>142</v>
      </c>
    </row>
    <row r="216" spans="1:10" x14ac:dyDescent="0.2">
      <c r="A216">
        <v>215</v>
      </c>
      <c r="B216" t="s">
        <v>630</v>
      </c>
      <c r="C216" t="s">
        <v>631</v>
      </c>
      <c r="D216" t="s">
        <v>977</v>
      </c>
      <c r="E216" t="s">
        <v>632</v>
      </c>
      <c r="F216" t="s">
        <v>594</v>
      </c>
      <c r="G216">
        <v>17</v>
      </c>
      <c r="H216" s="75">
        <v>204.16</v>
      </c>
      <c r="I216" t="s">
        <v>633</v>
      </c>
      <c r="J216" t="s">
        <v>142</v>
      </c>
    </row>
    <row r="217" spans="1:10" x14ac:dyDescent="0.2">
      <c r="A217">
        <v>216</v>
      </c>
      <c r="B217" t="s">
        <v>634</v>
      </c>
      <c r="C217" t="s">
        <v>329</v>
      </c>
      <c r="D217" t="s">
        <v>978</v>
      </c>
      <c r="E217" t="s">
        <v>632</v>
      </c>
      <c r="F217" t="s">
        <v>594</v>
      </c>
      <c r="G217">
        <v>17</v>
      </c>
      <c r="H217" s="75">
        <v>204.16</v>
      </c>
      <c r="I217" t="s">
        <v>633</v>
      </c>
      <c r="J217" t="s">
        <v>142</v>
      </c>
    </row>
    <row r="218" spans="1:10" x14ac:dyDescent="0.2">
      <c r="A218">
        <v>217</v>
      </c>
      <c r="B218" t="s">
        <v>635</v>
      </c>
      <c r="C218" t="s">
        <v>636</v>
      </c>
      <c r="D218" t="s">
        <v>979</v>
      </c>
      <c r="E218" t="s">
        <v>637</v>
      </c>
      <c r="F218" t="s">
        <v>594</v>
      </c>
      <c r="G218">
        <v>17</v>
      </c>
      <c r="H218" s="75">
        <v>204.16</v>
      </c>
      <c r="I218" t="s">
        <v>638</v>
      </c>
      <c r="J218" t="s">
        <v>142</v>
      </c>
    </row>
    <row r="219" spans="1:10" x14ac:dyDescent="0.2">
      <c r="A219">
        <v>218</v>
      </c>
      <c r="B219" t="s">
        <v>639</v>
      </c>
      <c r="C219" t="s">
        <v>640</v>
      </c>
      <c r="D219" t="s">
        <v>980</v>
      </c>
      <c r="E219" t="s">
        <v>637</v>
      </c>
      <c r="F219" t="s">
        <v>594</v>
      </c>
      <c r="G219">
        <v>17</v>
      </c>
      <c r="H219" s="75">
        <v>204.16</v>
      </c>
      <c r="I219" t="s">
        <v>641</v>
      </c>
      <c r="J219" t="s">
        <v>142</v>
      </c>
    </row>
    <row r="220" spans="1:10" x14ac:dyDescent="0.2">
      <c r="A220">
        <v>219</v>
      </c>
      <c r="B220" t="s">
        <v>642</v>
      </c>
      <c r="C220" t="s">
        <v>643</v>
      </c>
      <c r="D220" t="s">
        <v>981</v>
      </c>
      <c r="E220" t="s">
        <v>637</v>
      </c>
      <c r="F220" t="s">
        <v>644</v>
      </c>
      <c r="G220">
        <v>17</v>
      </c>
      <c r="H220" s="75">
        <v>204.16</v>
      </c>
      <c r="I220" t="s">
        <v>450</v>
      </c>
      <c r="J220" t="s">
        <v>142</v>
      </c>
    </row>
    <row r="221" spans="1:10" x14ac:dyDescent="0.2">
      <c r="A221">
        <v>220</v>
      </c>
      <c r="B221" t="s">
        <v>645</v>
      </c>
      <c r="C221" t="s">
        <v>646</v>
      </c>
      <c r="D221" t="s">
        <v>982</v>
      </c>
      <c r="E221" t="s">
        <v>647</v>
      </c>
      <c r="F221" t="s">
        <v>644</v>
      </c>
      <c r="G221">
        <v>17</v>
      </c>
      <c r="H221" s="75">
        <v>204.16</v>
      </c>
      <c r="I221" t="s">
        <v>450</v>
      </c>
      <c r="J221" t="s">
        <v>142</v>
      </c>
    </row>
    <row r="222" spans="1:10" x14ac:dyDescent="0.2">
      <c r="A222">
        <v>221</v>
      </c>
      <c r="B222" t="s">
        <v>648</v>
      </c>
      <c r="C222" t="s">
        <v>649</v>
      </c>
      <c r="D222" t="s">
        <v>983</v>
      </c>
      <c r="E222" t="s">
        <v>650</v>
      </c>
      <c r="F222" t="s">
        <v>644</v>
      </c>
      <c r="G222">
        <v>17</v>
      </c>
      <c r="H222" s="75">
        <v>204.16</v>
      </c>
      <c r="I222" t="s">
        <v>651</v>
      </c>
      <c r="J222" t="s">
        <v>142</v>
      </c>
    </row>
    <row r="223" spans="1:10" x14ac:dyDescent="0.2">
      <c r="A223">
        <v>222</v>
      </c>
      <c r="B223" t="s">
        <v>652</v>
      </c>
      <c r="C223" t="s">
        <v>653</v>
      </c>
      <c r="D223" t="s">
        <v>984</v>
      </c>
      <c r="E223" t="s">
        <v>650</v>
      </c>
      <c r="F223" t="s">
        <v>644</v>
      </c>
      <c r="G223">
        <v>17</v>
      </c>
      <c r="H223" s="75">
        <v>204.16</v>
      </c>
      <c r="I223" t="s">
        <v>654</v>
      </c>
      <c r="J223" t="s">
        <v>142</v>
      </c>
    </row>
    <row r="224" spans="1:10" x14ac:dyDescent="0.2">
      <c r="A224">
        <v>223</v>
      </c>
      <c r="B224" t="s">
        <v>655</v>
      </c>
      <c r="C224" t="s">
        <v>656</v>
      </c>
      <c r="D224" t="s">
        <v>985</v>
      </c>
      <c r="E224" t="s">
        <v>657</v>
      </c>
      <c r="F224" t="s">
        <v>658</v>
      </c>
      <c r="G224">
        <v>17</v>
      </c>
      <c r="H224" s="75">
        <v>204.16</v>
      </c>
      <c r="I224" t="s">
        <v>349</v>
      </c>
      <c r="J224" t="s">
        <v>142</v>
      </c>
    </row>
    <row r="225" spans="1:10" x14ac:dyDescent="0.2">
      <c r="A225">
        <v>224</v>
      </c>
      <c r="B225" t="s">
        <v>659</v>
      </c>
      <c r="C225" t="s">
        <v>660</v>
      </c>
      <c r="D225" t="s">
        <v>986</v>
      </c>
      <c r="E225" t="s">
        <v>657</v>
      </c>
      <c r="F225" t="s">
        <v>658</v>
      </c>
      <c r="G225">
        <v>17</v>
      </c>
      <c r="H225" s="75">
        <v>204.16</v>
      </c>
      <c r="I225" t="s">
        <v>349</v>
      </c>
      <c r="J225" t="s">
        <v>142</v>
      </c>
    </row>
    <row r="226" spans="1:10" x14ac:dyDescent="0.2">
      <c r="A226">
        <v>225</v>
      </c>
      <c r="B226" t="s">
        <v>661</v>
      </c>
      <c r="C226" t="s">
        <v>662</v>
      </c>
      <c r="D226" t="s">
        <v>987</v>
      </c>
      <c r="E226" t="s">
        <v>657</v>
      </c>
      <c r="F226" t="s">
        <v>658</v>
      </c>
      <c r="G226">
        <v>17</v>
      </c>
      <c r="H226" s="75">
        <v>204.16</v>
      </c>
      <c r="I226" t="s">
        <v>349</v>
      </c>
      <c r="J226" t="s">
        <v>142</v>
      </c>
    </row>
    <row r="227" spans="1:10" x14ac:dyDescent="0.2">
      <c r="A227">
        <v>226</v>
      </c>
      <c r="B227" t="s">
        <v>663</v>
      </c>
      <c r="C227" t="s">
        <v>664</v>
      </c>
      <c r="D227" t="s">
        <v>988</v>
      </c>
      <c r="E227" t="s">
        <v>657</v>
      </c>
      <c r="F227" t="s">
        <v>658</v>
      </c>
      <c r="G227">
        <v>22</v>
      </c>
      <c r="H227" s="75">
        <v>204.16</v>
      </c>
      <c r="I227" t="s">
        <v>665</v>
      </c>
      <c r="J227" t="s">
        <v>142</v>
      </c>
    </row>
    <row r="228" spans="1:10" x14ac:dyDescent="0.2">
      <c r="A228">
        <v>227</v>
      </c>
      <c r="B228" t="s">
        <v>609</v>
      </c>
      <c r="C228" t="s">
        <v>666</v>
      </c>
      <c r="D228" t="s">
        <v>989</v>
      </c>
      <c r="E228" t="s">
        <v>657</v>
      </c>
      <c r="F228" t="s">
        <v>658</v>
      </c>
      <c r="G228">
        <v>22</v>
      </c>
      <c r="H228" s="75">
        <v>204.16</v>
      </c>
      <c r="I228" t="s">
        <v>665</v>
      </c>
      <c r="J228" t="s">
        <v>142</v>
      </c>
    </row>
    <row r="229" spans="1:10" x14ac:dyDescent="0.2">
      <c r="A229">
        <v>228</v>
      </c>
      <c r="B229" t="s">
        <v>667</v>
      </c>
      <c r="C229" t="s">
        <v>668</v>
      </c>
      <c r="D229" t="s">
        <v>990</v>
      </c>
      <c r="E229" t="s">
        <v>657</v>
      </c>
      <c r="F229" t="s">
        <v>658</v>
      </c>
      <c r="G229">
        <v>17</v>
      </c>
      <c r="H229" s="75">
        <v>204.16</v>
      </c>
      <c r="I229" t="s">
        <v>669</v>
      </c>
      <c r="J229" t="s">
        <v>142</v>
      </c>
    </row>
    <row r="230" spans="1:10" x14ac:dyDescent="0.2">
      <c r="A230">
        <v>229</v>
      </c>
      <c r="B230" t="s">
        <v>185</v>
      </c>
      <c r="C230" t="s">
        <v>670</v>
      </c>
      <c r="D230" t="s">
        <v>991</v>
      </c>
      <c r="E230" t="s">
        <v>657</v>
      </c>
      <c r="F230" t="s">
        <v>658</v>
      </c>
      <c r="G230">
        <v>22</v>
      </c>
      <c r="H230" s="75">
        <v>204.16</v>
      </c>
      <c r="I230" t="s">
        <v>671</v>
      </c>
      <c r="J230" t="s">
        <v>142</v>
      </c>
    </row>
    <row r="231" spans="1:10" x14ac:dyDescent="0.2">
      <c r="A231">
        <v>230</v>
      </c>
      <c r="B231" t="s">
        <v>672</v>
      </c>
      <c r="C231" t="s">
        <v>673</v>
      </c>
      <c r="D231" t="s">
        <v>992</v>
      </c>
      <c r="E231" t="s">
        <v>657</v>
      </c>
      <c r="F231" t="s">
        <v>658</v>
      </c>
      <c r="G231">
        <v>22</v>
      </c>
      <c r="H231" s="75">
        <v>204.16</v>
      </c>
      <c r="I231" t="s">
        <v>671</v>
      </c>
      <c r="J231" t="s">
        <v>142</v>
      </c>
    </row>
    <row r="232" spans="1:10" x14ac:dyDescent="0.2">
      <c r="A232">
        <v>231</v>
      </c>
      <c r="B232" t="s">
        <v>674</v>
      </c>
      <c r="C232" t="s">
        <v>675</v>
      </c>
      <c r="D232" t="s">
        <v>993</v>
      </c>
      <c r="E232" t="s">
        <v>657</v>
      </c>
      <c r="F232" t="s">
        <v>658</v>
      </c>
      <c r="G232">
        <v>22</v>
      </c>
      <c r="H232" s="75">
        <v>204.16</v>
      </c>
      <c r="I232" t="s">
        <v>671</v>
      </c>
      <c r="J232" t="s">
        <v>142</v>
      </c>
    </row>
    <row r="233" spans="1:10" x14ac:dyDescent="0.2">
      <c r="A233">
        <v>232</v>
      </c>
      <c r="B233" t="s">
        <v>676</v>
      </c>
      <c r="C233" t="s">
        <v>677</v>
      </c>
      <c r="D233" t="s">
        <v>994</v>
      </c>
      <c r="E233" t="s">
        <v>657</v>
      </c>
      <c r="F233" t="s">
        <v>658</v>
      </c>
      <c r="G233">
        <v>22</v>
      </c>
      <c r="H233" s="75">
        <v>204.16</v>
      </c>
      <c r="I233" t="s">
        <v>671</v>
      </c>
      <c r="J233" t="s">
        <v>142</v>
      </c>
    </row>
    <row r="234" spans="1:10" x14ac:dyDescent="0.2">
      <c r="A234">
        <v>233</v>
      </c>
      <c r="B234" t="s">
        <v>663</v>
      </c>
      <c r="C234" t="s">
        <v>678</v>
      </c>
      <c r="D234" t="s">
        <v>995</v>
      </c>
      <c r="E234" t="s">
        <v>679</v>
      </c>
      <c r="F234" t="s">
        <v>658</v>
      </c>
      <c r="G234">
        <v>16</v>
      </c>
      <c r="H234" s="75">
        <v>204.16</v>
      </c>
      <c r="I234" t="s">
        <v>680</v>
      </c>
      <c r="J234" t="s">
        <v>142</v>
      </c>
    </row>
    <row r="235" spans="1:10" x14ac:dyDescent="0.2">
      <c r="A235">
        <v>234</v>
      </c>
      <c r="B235" t="s">
        <v>681</v>
      </c>
      <c r="C235" t="s">
        <v>682</v>
      </c>
      <c r="D235" t="s">
        <v>996</v>
      </c>
      <c r="E235" t="s">
        <v>683</v>
      </c>
      <c r="F235" t="s">
        <v>658</v>
      </c>
      <c r="G235">
        <v>16</v>
      </c>
      <c r="H235" s="75">
        <v>204.16</v>
      </c>
      <c r="I235" t="s">
        <v>680</v>
      </c>
      <c r="J235" t="s">
        <v>142</v>
      </c>
    </row>
    <row r="236" spans="1:10" x14ac:dyDescent="0.2">
      <c r="A236">
        <v>235</v>
      </c>
      <c r="B236" t="s">
        <v>684</v>
      </c>
      <c r="C236" t="s">
        <v>685</v>
      </c>
      <c r="D236" t="s">
        <v>997</v>
      </c>
      <c r="E236" t="s">
        <v>679</v>
      </c>
      <c r="F236" t="s">
        <v>658</v>
      </c>
      <c r="G236">
        <v>16</v>
      </c>
      <c r="H236" s="75">
        <v>204.16</v>
      </c>
      <c r="I236" t="s">
        <v>686</v>
      </c>
      <c r="J236" t="s">
        <v>142</v>
      </c>
    </row>
    <row r="237" spans="1:10" x14ac:dyDescent="0.2">
      <c r="A237">
        <v>236</v>
      </c>
      <c r="B237" t="s">
        <v>687</v>
      </c>
      <c r="C237" t="s">
        <v>688</v>
      </c>
      <c r="D237" t="s">
        <v>998</v>
      </c>
      <c r="E237" t="s">
        <v>679</v>
      </c>
      <c r="F237" t="s">
        <v>658</v>
      </c>
      <c r="G237">
        <v>16</v>
      </c>
      <c r="H237" s="75">
        <v>204.16</v>
      </c>
      <c r="I237" t="s">
        <v>686</v>
      </c>
      <c r="J237" t="s">
        <v>142</v>
      </c>
    </row>
    <row r="238" spans="1:10" x14ac:dyDescent="0.2">
      <c r="A238">
        <v>237</v>
      </c>
      <c r="B238" t="s">
        <v>428</v>
      </c>
      <c r="C238" t="s">
        <v>689</v>
      </c>
      <c r="D238" t="s">
        <v>999</v>
      </c>
      <c r="E238" t="s">
        <v>679</v>
      </c>
      <c r="F238" t="s">
        <v>658</v>
      </c>
      <c r="G238">
        <v>16</v>
      </c>
      <c r="H238" s="75">
        <v>204.16</v>
      </c>
      <c r="I238" t="s">
        <v>686</v>
      </c>
      <c r="J238" t="s">
        <v>142</v>
      </c>
    </row>
    <row r="239" spans="1:10" x14ac:dyDescent="0.2">
      <c r="A239">
        <v>238</v>
      </c>
      <c r="B239" t="s">
        <v>690</v>
      </c>
      <c r="C239" t="s">
        <v>691</v>
      </c>
      <c r="D239" t="s">
        <v>1000</v>
      </c>
      <c r="E239" t="s">
        <v>683</v>
      </c>
      <c r="F239" t="s">
        <v>658</v>
      </c>
      <c r="G239">
        <v>17</v>
      </c>
      <c r="H239" s="75">
        <v>204.16</v>
      </c>
      <c r="I239" t="s">
        <v>349</v>
      </c>
      <c r="J239" t="s">
        <v>142</v>
      </c>
    </row>
    <row r="240" spans="1:10" x14ac:dyDescent="0.2">
      <c r="A240">
        <v>239</v>
      </c>
      <c r="B240" t="s">
        <v>692</v>
      </c>
      <c r="C240" t="s">
        <v>693</v>
      </c>
      <c r="D240" t="s">
        <v>1001</v>
      </c>
      <c r="E240" t="s">
        <v>694</v>
      </c>
      <c r="F240" t="s">
        <v>658</v>
      </c>
      <c r="G240">
        <v>26</v>
      </c>
      <c r="H240" s="75">
        <v>204.16</v>
      </c>
      <c r="I240" t="s">
        <v>175</v>
      </c>
      <c r="J240" t="s">
        <v>142</v>
      </c>
    </row>
    <row r="241" spans="1:10" x14ac:dyDescent="0.2">
      <c r="A241">
        <v>240</v>
      </c>
      <c r="B241" t="s">
        <v>695</v>
      </c>
      <c r="C241" t="s">
        <v>696</v>
      </c>
      <c r="D241" t="s">
        <v>1002</v>
      </c>
      <c r="E241" t="s">
        <v>694</v>
      </c>
      <c r="F241" t="s">
        <v>658</v>
      </c>
      <c r="G241">
        <v>18</v>
      </c>
      <c r="H241" s="75">
        <v>204.16</v>
      </c>
      <c r="I241" t="s">
        <v>175</v>
      </c>
      <c r="J241" t="s">
        <v>142</v>
      </c>
    </row>
    <row r="242" spans="1:10" x14ac:dyDescent="0.2">
      <c r="A242">
        <v>241</v>
      </c>
      <c r="B242" t="s">
        <v>697</v>
      </c>
      <c r="C242" t="s">
        <v>698</v>
      </c>
      <c r="D242" t="s">
        <v>1003</v>
      </c>
      <c r="E242" t="s">
        <v>694</v>
      </c>
      <c r="F242" t="s">
        <v>658</v>
      </c>
      <c r="G242">
        <v>16</v>
      </c>
      <c r="H242" s="75">
        <v>218.08</v>
      </c>
      <c r="I242" t="s">
        <v>699</v>
      </c>
      <c r="J242" t="s">
        <v>159</v>
      </c>
    </row>
    <row r="243" spans="1:10" x14ac:dyDescent="0.2">
      <c r="A243">
        <v>242</v>
      </c>
      <c r="B243" t="s">
        <v>700</v>
      </c>
      <c r="C243" t="s">
        <v>701</v>
      </c>
      <c r="D243" t="s">
        <v>1004</v>
      </c>
      <c r="E243" t="s">
        <v>694</v>
      </c>
      <c r="F243" t="s">
        <v>658</v>
      </c>
      <c r="G243">
        <v>16</v>
      </c>
      <c r="H243" s="75">
        <v>218.08</v>
      </c>
      <c r="I243" t="s">
        <v>699</v>
      </c>
      <c r="J243" t="s">
        <v>159</v>
      </c>
    </row>
    <row r="244" spans="1:10" x14ac:dyDescent="0.2">
      <c r="A244">
        <v>243</v>
      </c>
      <c r="B244" t="s">
        <v>702</v>
      </c>
      <c r="C244" t="s">
        <v>703</v>
      </c>
      <c r="D244" t="s">
        <v>1005</v>
      </c>
      <c r="E244" t="s">
        <v>694</v>
      </c>
      <c r="F244" t="s">
        <v>658</v>
      </c>
      <c r="G244">
        <v>16</v>
      </c>
      <c r="H244" s="75">
        <v>204.16</v>
      </c>
      <c r="I244" t="s">
        <v>699</v>
      </c>
      <c r="J244" t="s">
        <v>142</v>
      </c>
    </row>
    <row r="245" spans="1:10" x14ac:dyDescent="0.2">
      <c r="A245">
        <v>244</v>
      </c>
      <c r="B245" t="s">
        <v>193</v>
      </c>
      <c r="C245" t="s">
        <v>704</v>
      </c>
      <c r="D245" t="s">
        <v>1006</v>
      </c>
      <c r="E245" t="s">
        <v>694</v>
      </c>
      <c r="F245" t="s">
        <v>658</v>
      </c>
      <c r="G245">
        <v>16</v>
      </c>
      <c r="H245" s="75">
        <v>204.16</v>
      </c>
      <c r="I245" t="s">
        <v>699</v>
      </c>
      <c r="J245" t="s">
        <v>142</v>
      </c>
    </row>
    <row r="246" spans="1:10" x14ac:dyDescent="0.2">
      <c r="A246">
        <v>245</v>
      </c>
      <c r="B246" t="s">
        <v>705</v>
      </c>
      <c r="C246" t="s">
        <v>706</v>
      </c>
      <c r="D246" t="s">
        <v>1007</v>
      </c>
      <c r="E246" t="s">
        <v>694</v>
      </c>
      <c r="F246" t="s">
        <v>658</v>
      </c>
      <c r="G246">
        <v>16</v>
      </c>
      <c r="H246" s="75">
        <v>204.16</v>
      </c>
      <c r="I246" t="s">
        <v>699</v>
      </c>
      <c r="J246" t="s">
        <v>142</v>
      </c>
    </row>
    <row r="247" spans="1:10" x14ac:dyDescent="0.2">
      <c r="A247">
        <v>246</v>
      </c>
      <c r="B247" t="s">
        <v>707</v>
      </c>
      <c r="C247" t="s">
        <v>708</v>
      </c>
      <c r="D247" t="s">
        <v>1008</v>
      </c>
      <c r="E247" t="s">
        <v>694</v>
      </c>
      <c r="F247" t="s">
        <v>658</v>
      </c>
      <c r="G247">
        <v>16</v>
      </c>
      <c r="H247" s="75">
        <v>204.16</v>
      </c>
      <c r="I247" t="s">
        <v>699</v>
      </c>
      <c r="J247" t="s">
        <v>142</v>
      </c>
    </row>
    <row r="248" spans="1:10" x14ac:dyDescent="0.2">
      <c r="A248">
        <v>247</v>
      </c>
      <c r="B248" t="s">
        <v>399</v>
      </c>
      <c r="C248" t="s">
        <v>709</v>
      </c>
      <c r="D248" t="s">
        <v>1009</v>
      </c>
      <c r="E248" t="s">
        <v>694</v>
      </c>
      <c r="F248" t="s">
        <v>658</v>
      </c>
      <c r="G248">
        <v>16</v>
      </c>
      <c r="H248" s="75">
        <v>204.16</v>
      </c>
      <c r="I248" t="s">
        <v>699</v>
      </c>
      <c r="J248" t="s">
        <v>142</v>
      </c>
    </row>
    <row r="249" spans="1:10" x14ac:dyDescent="0.2">
      <c r="A249">
        <v>248</v>
      </c>
      <c r="B249" t="s">
        <v>710</v>
      </c>
      <c r="C249" t="s">
        <v>711</v>
      </c>
      <c r="D249" t="s">
        <v>1010</v>
      </c>
      <c r="E249" t="s">
        <v>694</v>
      </c>
      <c r="F249" t="s">
        <v>658</v>
      </c>
      <c r="G249">
        <v>16</v>
      </c>
      <c r="H249" s="75">
        <v>204.16</v>
      </c>
      <c r="I249" t="s">
        <v>699</v>
      </c>
      <c r="J249" t="s">
        <v>142</v>
      </c>
    </row>
    <row r="250" spans="1:10" x14ac:dyDescent="0.2">
      <c r="A250">
        <v>249</v>
      </c>
      <c r="B250" t="s">
        <v>187</v>
      </c>
      <c r="C250" t="s">
        <v>712</v>
      </c>
      <c r="D250" t="s">
        <v>1011</v>
      </c>
      <c r="E250" t="s">
        <v>694</v>
      </c>
      <c r="F250" t="s">
        <v>658</v>
      </c>
      <c r="G250">
        <v>16</v>
      </c>
      <c r="H250" s="75">
        <v>204.16</v>
      </c>
      <c r="I250" t="s">
        <v>699</v>
      </c>
      <c r="J250" t="s">
        <v>142</v>
      </c>
    </row>
    <row r="251" spans="1:10" x14ac:dyDescent="0.2">
      <c r="A251">
        <v>250</v>
      </c>
      <c r="B251" t="s">
        <v>713</v>
      </c>
      <c r="C251" t="s">
        <v>714</v>
      </c>
      <c r="D251" t="s">
        <v>1012</v>
      </c>
      <c r="E251" t="s">
        <v>694</v>
      </c>
      <c r="F251" t="s">
        <v>658</v>
      </c>
      <c r="G251">
        <v>16</v>
      </c>
      <c r="H251" s="75">
        <v>204.16</v>
      </c>
      <c r="I251" t="s">
        <v>699</v>
      </c>
      <c r="J251" t="s">
        <v>142</v>
      </c>
    </row>
    <row r="252" spans="1:10" x14ac:dyDescent="0.2">
      <c r="A252">
        <v>251</v>
      </c>
      <c r="B252" t="s">
        <v>715</v>
      </c>
      <c r="C252" t="s">
        <v>716</v>
      </c>
      <c r="D252" t="s">
        <v>1013</v>
      </c>
      <c r="E252" t="s">
        <v>694</v>
      </c>
      <c r="F252" t="s">
        <v>658</v>
      </c>
      <c r="G252">
        <v>16</v>
      </c>
      <c r="H252" s="75">
        <v>204.16</v>
      </c>
      <c r="I252" t="s">
        <v>699</v>
      </c>
      <c r="J252" t="s">
        <v>142</v>
      </c>
    </row>
    <row r="253" spans="1:10" x14ac:dyDescent="0.2">
      <c r="A253">
        <v>252</v>
      </c>
      <c r="B253" t="s">
        <v>717</v>
      </c>
      <c r="C253" t="s">
        <v>718</v>
      </c>
      <c r="D253" t="s">
        <v>1014</v>
      </c>
      <c r="E253" t="s">
        <v>694</v>
      </c>
      <c r="F253" t="s">
        <v>658</v>
      </c>
      <c r="G253">
        <v>16</v>
      </c>
      <c r="H253" s="75">
        <v>204.16</v>
      </c>
      <c r="I253" t="s">
        <v>699</v>
      </c>
      <c r="J253" t="s">
        <v>142</v>
      </c>
    </row>
    <row r="254" spans="1:10" x14ac:dyDescent="0.2">
      <c r="A254">
        <v>253</v>
      </c>
      <c r="B254" t="s">
        <v>347</v>
      </c>
      <c r="C254" t="s">
        <v>719</v>
      </c>
      <c r="D254" t="s">
        <v>1015</v>
      </c>
      <c r="E254" t="s">
        <v>694</v>
      </c>
      <c r="F254" t="s">
        <v>658</v>
      </c>
      <c r="G254">
        <v>16</v>
      </c>
      <c r="H254" s="75">
        <v>204.16</v>
      </c>
      <c r="I254" t="s">
        <v>699</v>
      </c>
      <c r="J254" t="s">
        <v>142</v>
      </c>
    </row>
    <row r="255" spans="1:10" x14ac:dyDescent="0.2">
      <c r="A255">
        <v>254</v>
      </c>
      <c r="B255" t="s">
        <v>720</v>
      </c>
      <c r="C255" t="s">
        <v>721</v>
      </c>
      <c r="D255" t="s">
        <v>1016</v>
      </c>
      <c r="E255" t="s">
        <v>694</v>
      </c>
      <c r="F255" t="s">
        <v>658</v>
      </c>
      <c r="G255">
        <v>16</v>
      </c>
      <c r="H255" s="75">
        <v>204.16</v>
      </c>
      <c r="I255" t="s">
        <v>699</v>
      </c>
      <c r="J255" t="s">
        <v>142</v>
      </c>
    </row>
    <row r="256" spans="1:10" x14ac:dyDescent="0.2">
      <c r="A256">
        <v>255</v>
      </c>
      <c r="B256" t="s">
        <v>722</v>
      </c>
      <c r="C256" t="s">
        <v>716</v>
      </c>
      <c r="D256" t="s">
        <v>1017</v>
      </c>
      <c r="E256" t="s">
        <v>694</v>
      </c>
      <c r="F256" t="s">
        <v>658</v>
      </c>
      <c r="G256">
        <v>16</v>
      </c>
      <c r="H256" s="75">
        <v>204.16</v>
      </c>
      <c r="I256" t="s">
        <v>699</v>
      </c>
      <c r="J256" t="s">
        <v>142</v>
      </c>
    </row>
    <row r="257" spans="1:10" x14ac:dyDescent="0.2">
      <c r="A257">
        <v>256</v>
      </c>
      <c r="B257" t="s">
        <v>723</v>
      </c>
      <c r="C257" t="s">
        <v>724</v>
      </c>
      <c r="D257" t="s">
        <v>1018</v>
      </c>
      <c r="E257" t="s">
        <v>694</v>
      </c>
      <c r="F257" t="s">
        <v>658</v>
      </c>
      <c r="G257">
        <v>16</v>
      </c>
      <c r="H257" s="75">
        <v>204.16</v>
      </c>
      <c r="I257" t="s">
        <v>699</v>
      </c>
      <c r="J257" t="s">
        <v>142</v>
      </c>
    </row>
    <row r="258" spans="1:10" x14ac:dyDescent="0.2">
      <c r="A258">
        <v>257</v>
      </c>
      <c r="B258" t="s">
        <v>725</v>
      </c>
      <c r="C258" t="s">
        <v>726</v>
      </c>
      <c r="D258" t="s">
        <v>1019</v>
      </c>
      <c r="E258" t="s">
        <v>694</v>
      </c>
      <c r="F258" t="s">
        <v>658</v>
      </c>
      <c r="G258">
        <v>16</v>
      </c>
      <c r="H258" s="75">
        <v>204.16</v>
      </c>
      <c r="I258" t="s">
        <v>699</v>
      </c>
      <c r="J258" t="s">
        <v>142</v>
      </c>
    </row>
    <row r="259" spans="1:10" x14ac:dyDescent="0.2">
      <c r="A259">
        <v>258</v>
      </c>
      <c r="B259" t="s">
        <v>727</v>
      </c>
      <c r="C259" t="s">
        <v>728</v>
      </c>
      <c r="D259" t="s">
        <v>1020</v>
      </c>
      <c r="E259" t="s">
        <v>694</v>
      </c>
      <c r="F259" t="s">
        <v>658</v>
      </c>
      <c r="G259">
        <v>16</v>
      </c>
      <c r="H259" s="75">
        <v>204.16</v>
      </c>
      <c r="I259" t="s">
        <v>699</v>
      </c>
      <c r="J259" t="s">
        <v>142</v>
      </c>
    </row>
    <row r="260" spans="1:10" x14ac:dyDescent="0.2">
      <c r="A260">
        <v>259</v>
      </c>
      <c r="B260" t="s">
        <v>562</v>
      </c>
      <c r="C260" t="s">
        <v>729</v>
      </c>
      <c r="D260" t="s">
        <v>1021</v>
      </c>
      <c r="E260" t="s">
        <v>694</v>
      </c>
      <c r="F260" t="s">
        <v>658</v>
      </c>
      <c r="G260">
        <v>16</v>
      </c>
      <c r="H260" s="75">
        <v>204.16</v>
      </c>
      <c r="I260" t="s">
        <v>699</v>
      </c>
      <c r="J260" t="s">
        <v>142</v>
      </c>
    </row>
    <row r="261" spans="1:10" x14ac:dyDescent="0.2">
      <c r="A261">
        <v>260</v>
      </c>
      <c r="B261" t="s">
        <v>730</v>
      </c>
      <c r="C261" t="s">
        <v>731</v>
      </c>
      <c r="D261" t="s">
        <v>1022</v>
      </c>
      <c r="E261" t="s">
        <v>694</v>
      </c>
      <c r="F261" t="s">
        <v>658</v>
      </c>
      <c r="G261">
        <v>16</v>
      </c>
      <c r="H261" s="75">
        <v>204.16</v>
      </c>
      <c r="I261" t="s">
        <v>699</v>
      </c>
      <c r="J261" t="s">
        <v>142</v>
      </c>
    </row>
    <row r="262" spans="1:10" x14ac:dyDescent="0.2">
      <c r="A262">
        <v>261</v>
      </c>
      <c r="B262" t="s">
        <v>732</v>
      </c>
      <c r="C262" t="s">
        <v>733</v>
      </c>
      <c r="D262" t="s">
        <v>1023</v>
      </c>
      <c r="E262" t="s">
        <v>734</v>
      </c>
      <c r="F262" t="s">
        <v>658</v>
      </c>
      <c r="G262">
        <v>22</v>
      </c>
      <c r="H262" s="75">
        <v>204.16</v>
      </c>
      <c r="I262" t="s">
        <v>735</v>
      </c>
      <c r="J262" t="s">
        <v>142</v>
      </c>
    </row>
    <row r="263" spans="1:10" x14ac:dyDescent="0.2">
      <c r="A263">
        <v>262</v>
      </c>
      <c r="B263" t="s">
        <v>736</v>
      </c>
      <c r="C263" t="s">
        <v>737</v>
      </c>
      <c r="D263" t="s">
        <v>1024</v>
      </c>
      <c r="E263" t="s">
        <v>734</v>
      </c>
      <c r="F263" t="s">
        <v>658</v>
      </c>
      <c r="G263">
        <v>22</v>
      </c>
      <c r="H263" s="75">
        <v>204.16</v>
      </c>
      <c r="I263" t="s">
        <v>735</v>
      </c>
      <c r="J263" t="s">
        <v>142</v>
      </c>
    </row>
    <row r="264" spans="1:10" x14ac:dyDescent="0.2">
      <c r="A264">
        <v>263</v>
      </c>
      <c r="B264" t="s">
        <v>738</v>
      </c>
      <c r="C264" t="s">
        <v>739</v>
      </c>
      <c r="D264" t="s">
        <v>1025</v>
      </c>
      <c r="E264" t="s">
        <v>740</v>
      </c>
      <c r="F264" t="s">
        <v>658</v>
      </c>
      <c r="G264">
        <v>10</v>
      </c>
      <c r="H264" s="75">
        <v>218.08</v>
      </c>
      <c r="I264" t="s">
        <v>741</v>
      </c>
      <c r="J264" t="s">
        <v>159</v>
      </c>
    </row>
    <row r="265" spans="1:10" x14ac:dyDescent="0.2">
      <c r="A265">
        <v>264</v>
      </c>
      <c r="B265" t="s">
        <v>742</v>
      </c>
      <c r="C265" t="s">
        <v>743</v>
      </c>
      <c r="D265" t="s">
        <v>1026</v>
      </c>
      <c r="E265" t="s">
        <v>740</v>
      </c>
      <c r="F265" t="s">
        <v>658</v>
      </c>
      <c r="G265">
        <v>10</v>
      </c>
      <c r="H265" s="75">
        <v>204.16</v>
      </c>
      <c r="I265" t="s">
        <v>741</v>
      </c>
      <c r="J265" t="s">
        <v>142</v>
      </c>
    </row>
    <row r="266" spans="1:10" x14ac:dyDescent="0.2">
      <c r="A266">
        <v>265</v>
      </c>
      <c r="B266" t="s">
        <v>744</v>
      </c>
      <c r="C266" t="s">
        <v>745</v>
      </c>
      <c r="D266" t="s">
        <v>1027</v>
      </c>
      <c r="E266" t="s">
        <v>740</v>
      </c>
      <c r="F266" t="s">
        <v>658</v>
      </c>
      <c r="G266">
        <v>10</v>
      </c>
      <c r="H266" s="75">
        <v>204.16</v>
      </c>
      <c r="I266" t="s">
        <v>741</v>
      </c>
      <c r="J266" t="s">
        <v>142</v>
      </c>
    </row>
    <row r="267" spans="1:10" x14ac:dyDescent="0.2">
      <c r="A267">
        <v>266</v>
      </c>
      <c r="B267" t="s">
        <v>746</v>
      </c>
      <c r="C267" t="s">
        <v>747</v>
      </c>
      <c r="D267" t="s">
        <v>1028</v>
      </c>
      <c r="E267" t="s">
        <v>740</v>
      </c>
      <c r="F267" t="s">
        <v>658</v>
      </c>
      <c r="G267">
        <v>10</v>
      </c>
      <c r="H267" s="75">
        <v>204.16</v>
      </c>
      <c r="I267" t="s">
        <v>741</v>
      </c>
      <c r="J267" t="s">
        <v>142</v>
      </c>
    </row>
    <row r="268" spans="1:10" x14ac:dyDescent="0.2">
      <c r="A268">
        <v>267</v>
      </c>
      <c r="B268" t="s">
        <v>347</v>
      </c>
      <c r="C268" t="s">
        <v>748</v>
      </c>
      <c r="D268" t="s">
        <v>1029</v>
      </c>
      <c r="E268" t="s">
        <v>740</v>
      </c>
      <c r="F268" t="s">
        <v>658</v>
      </c>
      <c r="G268">
        <v>10</v>
      </c>
      <c r="H268" s="75">
        <v>204.16</v>
      </c>
      <c r="I268" t="s">
        <v>741</v>
      </c>
      <c r="J268" t="s">
        <v>142</v>
      </c>
    </row>
    <row r="269" spans="1:10" x14ac:dyDescent="0.2">
      <c r="A269">
        <v>268</v>
      </c>
      <c r="B269" t="s">
        <v>749</v>
      </c>
      <c r="C269" t="s">
        <v>750</v>
      </c>
      <c r="D269" t="s">
        <v>1030</v>
      </c>
      <c r="E269" t="s">
        <v>740</v>
      </c>
      <c r="F269" t="s">
        <v>658</v>
      </c>
      <c r="G269">
        <v>10</v>
      </c>
      <c r="H269" s="75">
        <v>204.16</v>
      </c>
      <c r="I269" t="s">
        <v>741</v>
      </c>
      <c r="J269" t="s">
        <v>142</v>
      </c>
    </row>
    <row r="270" spans="1:10" x14ac:dyDescent="0.2">
      <c r="A270">
        <v>269</v>
      </c>
      <c r="B270" t="s">
        <v>751</v>
      </c>
      <c r="C270" t="s">
        <v>752</v>
      </c>
      <c r="D270" t="s">
        <v>1031</v>
      </c>
      <c r="E270" t="s">
        <v>740</v>
      </c>
      <c r="F270" t="s">
        <v>658</v>
      </c>
      <c r="G270">
        <v>10</v>
      </c>
      <c r="H270" s="75">
        <v>204.16</v>
      </c>
      <c r="I270" t="s">
        <v>741</v>
      </c>
      <c r="J270" t="s">
        <v>142</v>
      </c>
    </row>
    <row r="271" spans="1:10" x14ac:dyDescent="0.2">
      <c r="A271">
        <v>270</v>
      </c>
      <c r="B271" t="s">
        <v>753</v>
      </c>
      <c r="C271" t="s">
        <v>754</v>
      </c>
      <c r="D271" t="s">
        <v>1032</v>
      </c>
      <c r="E271" t="s">
        <v>740</v>
      </c>
      <c r="F271" t="s">
        <v>658</v>
      </c>
      <c r="G271">
        <v>10</v>
      </c>
      <c r="H271" s="75">
        <v>204.16</v>
      </c>
      <c r="I271" t="s">
        <v>741</v>
      </c>
      <c r="J271" t="s">
        <v>142</v>
      </c>
    </row>
    <row r="272" spans="1:10" x14ac:dyDescent="0.2">
      <c r="A272">
        <v>271</v>
      </c>
      <c r="B272" t="s">
        <v>755</v>
      </c>
      <c r="C272" t="s">
        <v>756</v>
      </c>
      <c r="D272" t="s">
        <v>1033</v>
      </c>
      <c r="E272" t="s">
        <v>740</v>
      </c>
      <c r="F272" t="s">
        <v>658</v>
      </c>
      <c r="G272">
        <v>10</v>
      </c>
      <c r="H272" s="75">
        <v>204.16</v>
      </c>
      <c r="I272" t="s">
        <v>741</v>
      </c>
      <c r="J272" t="s">
        <v>142</v>
      </c>
    </row>
    <row r="273" spans="1:10" x14ac:dyDescent="0.2">
      <c r="A273">
        <v>272</v>
      </c>
      <c r="B273" t="s">
        <v>757</v>
      </c>
      <c r="C273" t="s">
        <v>758</v>
      </c>
      <c r="D273" t="s">
        <v>1034</v>
      </c>
      <c r="E273" t="s">
        <v>740</v>
      </c>
      <c r="F273" t="s">
        <v>658</v>
      </c>
      <c r="G273">
        <v>10</v>
      </c>
      <c r="H273" s="75">
        <v>204.16</v>
      </c>
      <c r="I273" t="s">
        <v>741</v>
      </c>
      <c r="J273" t="s">
        <v>142</v>
      </c>
    </row>
    <row r="274" spans="1:10" x14ac:dyDescent="0.2">
      <c r="A274">
        <v>273</v>
      </c>
      <c r="B274" t="s">
        <v>759</v>
      </c>
      <c r="C274" t="s">
        <v>760</v>
      </c>
      <c r="D274" t="s">
        <v>1035</v>
      </c>
      <c r="E274" t="s">
        <v>740</v>
      </c>
      <c r="F274" t="s">
        <v>658</v>
      </c>
      <c r="G274">
        <v>10</v>
      </c>
      <c r="H274" s="75">
        <v>204.16</v>
      </c>
      <c r="I274" t="s">
        <v>741</v>
      </c>
      <c r="J274" t="s">
        <v>142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1 xmlns="63e8e192-276c-460b-b515-a9d664697751">EPWP Project Documentation</Category1>
    <Linktext xmlns="63e8e192-276c-460b-b515-a9d664697751" xsi:nil="true"/>
    <Category2 xmlns="63e8e192-276c-460b-b515-a9d664697751">EPWP Labour Report</Category2>
    <Header xmlns="7cef6846-ca2f-4b9c-a35b-1dab1369e5b6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24E33E6E0BA47A3DBD1191F0F17F7" ma:contentTypeVersion="4" ma:contentTypeDescription="Create a new document." ma:contentTypeScope="" ma:versionID="f7b99877742a95cf9db7a8855fed9040">
  <xsd:schema xmlns:xsd="http://www.w3.org/2001/XMLSchema" xmlns:xs="http://www.w3.org/2001/XMLSchema" xmlns:p="http://schemas.microsoft.com/office/2006/metadata/properties" xmlns:ns2="7cef6846-ca2f-4b9c-a35b-1dab1369e5b6" xmlns:ns3="63e8e192-276c-460b-b515-a9d664697751" targetNamespace="http://schemas.microsoft.com/office/2006/metadata/properties" ma:root="true" ma:fieldsID="482271615984bfe005d2dd9006188e88" ns2:_="" ns3:_="">
    <xsd:import namespace="7cef6846-ca2f-4b9c-a35b-1dab1369e5b6"/>
    <xsd:import namespace="63e8e192-276c-460b-b515-a9d664697751"/>
    <xsd:element name="properties">
      <xsd:complexType>
        <xsd:sequence>
          <xsd:element name="documentManagement">
            <xsd:complexType>
              <xsd:all>
                <xsd:element ref="ns2:Header" minOccurs="0"/>
                <xsd:element ref="ns3:Category1" minOccurs="0"/>
                <xsd:element ref="ns3:Category2" minOccurs="0"/>
                <xsd:element ref="ns3:Linktex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ef6846-ca2f-4b9c-a35b-1dab1369e5b6" elementFormDefault="qualified">
    <xsd:import namespace="http://schemas.microsoft.com/office/2006/documentManagement/types"/>
    <xsd:import namespace="http://schemas.microsoft.com/office/infopath/2007/PartnerControls"/>
    <xsd:element name="Header" ma:index="8" nillable="true" ma:displayName="Header" ma:internalName="Header" ma:readOnly="false">
      <xsd:simpleType>
        <xsd:restriction base="dms:Text">
          <xsd:maxLength value="15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e8e192-276c-460b-b515-a9d664697751" elementFormDefault="qualified">
    <xsd:import namespace="http://schemas.microsoft.com/office/2006/documentManagement/types"/>
    <xsd:import namespace="http://schemas.microsoft.com/office/infopath/2007/PartnerControls"/>
    <xsd:element name="Category1" ma:index="9" nillable="true" ma:displayName="Category1" ma:internalName="Category1">
      <xsd:simpleType>
        <xsd:restriction base="dms:Text">
          <xsd:maxLength value="255"/>
        </xsd:restriction>
      </xsd:simpleType>
    </xsd:element>
    <xsd:element name="Category2" ma:index="10" nillable="true" ma:displayName="Category2" ma:internalName="Category2">
      <xsd:simpleType>
        <xsd:restriction base="dms:Text">
          <xsd:maxLength value="255"/>
        </xsd:restriction>
      </xsd:simpleType>
    </xsd:element>
    <xsd:element name="Linktext" ma:index="11" nillable="true" ma:displayName="Linktext" ma:internalName="Linktext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5617303-518E-4F06-B543-15D2DC648B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AB85B5-9C1E-49F2-B97C-AA8DCDCC2DA9}">
  <ds:schemaRefs>
    <ds:schemaRef ds:uri="http://purl.org/dc/dcmitype/"/>
    <ds:schemaRef ds:uri="http://schemas.microsoft.com/office/infopath/2007/PartnerControls"/>
    <ds:schemaRef ds:uri="63e8e192-276c-460b-b515-a9d664697751"/>
    <ds:schemaRef ds:uri="http://purl.org/dc/elements/1.1/"/>
    <ds:schemaRef ds:uri="http://schemas.microsoft.com/office/2006/metadata/properties"/>
    <ds:schemaRef ds:uri="7cef6846-ca2f-4b9c-a35b-1dab1369e5b6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5E8E107-6CC0-4505-A2A4-1086179DA1BF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9DC0CA2-8650-4EF9-8BA9-AE199F16F2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cef6846-ca2f-4b9c-a35b-1dab1369e5b6"/>
    <ds:schemaRef ds:uri="63e8e192-276c-460b-b515-a9d6646977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31</vt:i4>
      </vt:variant>
    </vt:vector>
  </HeadingPairs>
  <TitlesOfParts>
    <vt:vector size="48" baseType="lpstr">
      <vt:lpstr>Project</vt:lpstr>
      <vt:lpstr>Beneficiaries</vt:lpstr>
      <vt:lpstr>Beneficiaries (2)</vt:lpstr>
      <vt:lpstr>Beneficiaries (3)</vt:lpstr>
      <vt:lpstr>Beneficiaries (4)</vt:lpstr>
      <vt:lpstr>Beneficiaries (5)</vt:lpstr>
      <vt:lpstr>Beneficiaries (6)</vt:lpstr>
      <vt:lpstr>Beneficiaries (7)</vt:lpstr>
      <vt:lpstr>Beneficiaries (8)</vt:lpstr>
      <vt:lpstr>Beneficiaries (9)</vt:lpstr>
      <vt:lpstr>Beneficiaries (10)</vt:lpstr>
      <vt:lpstr>Beneficiaries (11)</vt:lpstr>
      <vt:lpstr>Beneficiaries (12)</vt:lpstr>
      <vt:lpstr>Beneficiaries (13)</vt:lpstr>
      <vt:lpstr>Beneficiaries (14)</vt:lpstr>
      <vt:lpstr>Beneficiaries (15)</vt:lpstr>
      <vt:lpstr>Logs</vt:lpstr>
      <vt:lpstr>Beneficiaries!Print_Area</vt:lpstr>
      <vt:lpstr>'Beneficiaries (10)'!Print_Area</vt:lpstr>
      <vt:lpstr>'Beneficiaries (11)'!Print_Area</vt:lpstr>
      <vt:lpstr>'Beneficiaries (12)'!Print_Area</vt:lpstr>
      <vt:lpstr>'Beneficiaries (13)'!Print_Area</vt:lpstr>
      <vt:lpstr>'Beneficiaries (14)'!Print_Area</vt:lpstr>
      <vt:lpstr>'Beneficiaries (15)'!Print_Area</vt:lpstr>
      <vt:lpstr>'Beneficiaries (2)'!Print_Area</vt:lpstr>
      <vt:lpstr>'Beneficiaries (3)'!Print_Area</vt:lpstr>
      <vt:lpstr>'Beneficiaries (4)'!Print_Area</vt:lpstr>
      <vt:lpstr>'Beneficiaries (5)'!Print_Area</vt:lpstr>
      <vt:lpstr>'Beneficiaries (6)'!Print_Area</vt:lpstr>
      <vt:lpstr>'Beneficiaries (7)'!Print_Area</vt:lpstr>
      <vt:lpstr>'Beneficiaries (8)'!Print_Area</vt:lpstr>
      <vt:lpstr>'Beneficiaries (9)'!Print_Area</vt:lpstr>
      <vt:lpstr>Project!Print_Area</vt:lpstr>
      <vt:lpstr>Beneficiaries!Print_Titles</vt:lpstr>
      <vt:lpstr>'Beneficiaries (10)'!Print_Titles</vt:lpstr>
      <vt:lpstr>'Beneficiaries (11)'!Print_Titles</vt:lpstr>
      <vt:lpstr>'Beneficiaries (12)'!Print_Titles</vt:lpstr>
      <vt:lpstr>'Beneficiaries (13)'!Print_Titles</vt:lpstr>
      <vt:lpstr>'Beneficiaries (14)'!Print_Titles</vt:lpstr>
      <vt:lpstr>'Beneficiaries (15)'!Print_Titles</vt:lpstr>
      <vt:lpstr>'Beneficiaries (2)'!Print_Titles</vt:lpstr>
      <vt:lpstr>'Beneficiaries (3)'!Print_Titles</vt:lpstr>
      <vt:lpstr>'Beneficiaries (4)'!Print_Titles</vt:lpstr>
      <vt:lpstr>'Beneficiaries (5)'!Print_Titles</vt:lpstr>
      <vt:lpstr>'Beneficiaries (6)'!Print_Titles</vt:lpstr>
      <vt:lpstr>'Beneficiaries (7)'!Print_Titles</vt:lpstr>
      <vt:lpstr>'Beneficiaries (8)'!Print_Titles</vt:lpstr>
      <vt:lpstr>'Beneficiaries (9)'!Print_Titles</vt:lpstr>
    </vt:vector>
  </TitlesOfParts>
  <Company>City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EPWP Project Labour Report  V8</dc:title>
  <dc:creator>\</dc:creator>
  <cp:lastModifiedBy>Peter Davids</cp:lastModifiedBy>
  <cp:lastPrinted>2019-06-06T09:44:55Z</cp:lastPrinted>
  <dcterms:created xsi:type="dcterms:W3CDTF">2013-07-11T12:53:12Z</dcterms:created>
  <dcterms:modified xsi:type="dcterms:W3CDTF">2023-09-24T08:24:48Z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0x0101005A524E33E6E0BA47A3DBD1191F0F17F7</vt:lpwstr>
  </property>
</Properties>
</file>