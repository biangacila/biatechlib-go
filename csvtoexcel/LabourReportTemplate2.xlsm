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openxmlformats-officedocument.spreadsheetml.sheet.main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Default Extension="rels" ContentType="application/vnd.openxmlformats-package.relationships+xml"/>
  <Default Extension="xml" ContentType="application/xml"/>
</Types>
</file>

<file path=_rels/.rels><?xml version="1.0" encoding="UTF-8"?>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Go XLSX"/>
  <workbookPr showObjects="all" date1904="false"/>
  <workbookProtection/>
  <bookViews>
    <workbookView showHorizontalScroll="true" showVerticalScroll="true" showSheetTabs="true" tabRatio="204" windowHeight="8192" windowWidth="16384" xWindow="0" yWindow="0"/>
  </bookViews>
  <sheets>
    <sheet name="Project" sheetId="1" r:id="rId1" state="visible"/>
    <sheet name="Beneficiaries" sheetId="2" r:id="rId2" state="visible"/>
    <sheet name="Beneficiaries (2)" sheetId="3" r:id="rId3" state="visible"/>
    <sheet name="Beneficiaries (3)" sheetId="4" r:id="rId4" state="visible"/>
    <sheet name="Beneficiaries (4)" sheetId="5" r:id="rId5" state="visible"/>
    <sheet name="Beneficiaries (5)" sheetId="6" r:id="rId6" state="visible"/>
    <sheet name="Beneficiaries (6)" sheetId="7" r:id="rId7" state="visible"/>
    <sheet name="Beneficiaries (7)" sheetId="8" r:id="rId8" state="visible"/>
    <sheet name="Beneficiaries (8)" sheetId="9" r:id="rId9" state="visible"/>
    <sheet name="Beneficiaries (9)" sheetId="10" r:id="rId10" state="visible"/>
    <sheet name="Beneficiaries (10)" sheetId="11" r:id="rId11" state="visible"/>
    <sheet name="Beneficiaries (11)" sheetId="12" r:id="rId12" state="visible"/>
    <sheet name="Beneficiaries (12)" sheetId="13" r:id="rId13" state="visible"/>
    <sheet name="Beneficiaries (13)" sheetId="14" r:id="rId14" state="visible"/>
    <sheet name="Beneficiaries (14)" sheetId="15" r:id="rId15" state="visible"/>
    <sheet name="Beneficiaries (15)" sheetId="16" r:id="rId16" state="visible"/>
    <sheet name="Logs" sheetId="17" r:id="rId17" state="visible"/>
  </sheets>
  <definedNames/>
  <calcPr iterateCount="100" refMode="A1" iterateDelta="0.001"/>
</workbook>
</file>

<file path=xl/sharedStrings.xml><?xml version="1.0" encoding="utf-8"?>
<sst xmlns="http://schemas.openxmlformats.org/spreadsheetml/2006/main" count="132" uniqueCount="132">
  <si>
    <t>ANNEX 1</t>
  </si>
  <si>
    <t>CITY OF CAPE TOWN</t>
  </si>
  <si>
    <t>MONTHLY PROJECT LABOUR REPORT</t>
  </si>
  <si>
    <t>Start Month</t>
  </si>
  <si>
    <t>End Month</t>
  </si>
  <si>
    <t>Instructions for completing and submitting forms</t>
  </si>
  <si>
    <t>General</t>
  </si>
  <si>
    <t>January</t>
  </si>
  <si>
    <t>The Monthly Project Labour Reports must be completed in full, using typed, proper case  </t>
  </si>
  <si>
    <t>A new beneficiary is one in respect of which a new employment contract is signed in the </t>
  </si>
  <si>
    <t>February</t>
  </si>
  <si>
    <t>characters; alternatively, should a computer not be available, handwritten in black ink.</t>
  </si>
  <si>
    <t>current month. A certied ID copy must accompany this labour report on submission.</t>
  </si>
  <si>
    <t>March</t>
  </si>
  <si>
    <t>Incomplete / incorrect / illegible forms will not be accepted.</t>
  </si>
  <si>
    <t>Was the beneficiary sourced from the City's job seeker database?</t>
  </si>
  <si>
    <t>Project Expenditure</t>
  </si>
  <si>
    <t>April</t>
  </si>
  <si>
    <t>Any conditions relating to targeted labour stipulated in the Contract (in the case of contracted</t>
  </si>
  <si>
    <t>The contract end date as stated in the  beneficiary's employment contract.</t>
  </si>
  <si>
    <t>May</t>
  </si>
  <si>
    <t>out services or works) shall apply to the completion and submission of these forms.</t>
  </si>
  <si>
    <t>Where a beneficiary has not worked in a particular month, the beneficiary's name shall not be</t>
  </si>
  <si>
    <t>June</t>
  </si>
  <si>
    <t>This document is available in Microsoft Excel format upon request from the City's EPWP </t>
  </si>
  <si>
    <t>reflected on this form at all for the month in question.</t>
  </si>
  <si>
    <t>July</t>
  </si>
  <si>
    <t>office, tel 021 400 9406, email EPWPLR@capetown.gov.za.</t>
  </si>
  <si>
    <t>Training will be recorded separately from normal working days and together shall not</t>
  </si>
  <si>
    <t>August</t>
  </si>
  <si>
    <t>Project Details</t>
  </si>
  <si>
    <t>exceed the maximum of 23 days per month</t>
  </si>
  <si>
    <t>September</t>
  </si>
  <si>
    <t>If a field is not applicable insert the letters: NA</t>
  </si>
  <si>
    <t>Workers earning more than the maximum daily rate (currently R500 excluding any benefits) </t>
  </si>
  <si>
    <t>October</t>
  </si>
  <si>
    <t>Only the Project Number supplied by the Corporate EPWP Office must be inserted. </t>
  </si>
  <si>
    <t>shall not be reflected on this form at all.</t>
  </si>
  <si>
    <t>November</t>
  </si>
  <si>
    <t>The Project Number can be obtained from the Coordinator or Project Manager or from the</t>
  </si>
  <si>
    <t>Submission of Forms</t>
  </si>
  <si>
    <t>December</t>
  </si>
  <si>
    <t>e-mail address in point 4 above.</t>
  </si>
  <si>
    <t>Signed hardcopy forms must be scanned and submitted to the City's project manager in </t>
  </si>
  <si>
    <t>On completion of the contract or works project the anticipated end date must be updated to  </t>
  </si>
  <si>
    <t>electronic (.pdf) format, together with the completed form in Microsoft Excel format.</t>
  </si>
  <si>
    <t>reflect the actual end date.</t>
  </si>
  <si>
    <t>Scanned copies of all applicable supporting documentation must be submitted along with </t>
  </si>
  <si>
    <t>Beneficiary Details and Work Information</t>
  </si>
  <si>
    <t>each monthly project labour report. Copies of employment contracts and ID documents are </t>
  </si>
  <si>
    <t>Care must be taken to ensure that beneficiary details correspond accurately with the </t>
  </si>
  <si>
    <t>only required in respect of new beneficiaries.</t>
  </si>
  <si>
    <t>beneficiary's ID document.</t>
  </si>
  <si>
    <t>If a computer is not available hardcopy forms and supporting documentation will be accepted.</t>
  </si>
  <si>
    <t>PROJECT DETAILS</t>
  </si>
  <si>
    <t>Numbers in cells below e.g (6) refer to the relevant instruction above for completing and submitting forms</t>
  </si>
  <si>
    <t>CONTRACT OR WORKS </t>
  </si>
  <si>
    <t>Servicing and Management of 100-litre Container Toilets in Areas of Informality City Wide.</t>
  </si>
  <si>
    <t>EPWP SUPPLIED</t>
  </si>
  <si>
    <t>WSDS/24/111i</t>
  </si>
  <si>
    <t>PROJECT NAME:        (6)</t>
  </si>
  <si>
    <t>PROJECT NUMBER:   (6)</t>
  </si>
  <si>
    <t>DIRECTORATE:</t>
  </si>
  <si>
    <t>WATER AND SANITATION</t>
  </si>
  <si>
    <t>DEPARTMENT:</t>
  </si>
  <si>
    <t>DISTRIBUTION SERVICES - INFORMAL SETTLEMENTS</t>
  </si>
  <si>
    <t>CONTRACTOR OR </t>
  </si>
  <si>
    <t>MSHENGU TOILET HIRE</t>
  </si>
  <si>
    <t>CONTRACTOR OR VENDOR </t>
  </si>
  <si>
    <t>info@mshengutoilethire.co.za</t>
  </si>
  <si>
    <t>VENDOR NAME:</t>
  </si>
  <si>
    <t>E-MAIL ADDRESS:</t>
  </si>
  <si>
    <t>Benjamin Milandou-Loubeka</t>
  </si>
  <si>
    <t>CELL</t>
  </si>
  <si>
    <t>-</t>
  </si>
  <si>
    <t>CONTACT PERSON: </t>
  </si>
  <si>
    <t>TEL. NUMBER: </t>
  </si>
  <si>
    <t>WORK</t>
  </si>
  <si>
    <t>PROJECT LABOUR REPORT CURRENT MONTH (mark with "X")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</si>
  <si>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</si>
  <si>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</si>
  <si>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</si>
  <si>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</si>
  <si>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</si>
  <si>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</si>
  <si>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</si>
  <si>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</si>
  <si>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</si>
  <si>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</si>
  <si>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</si>
  <si>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</si>
  <si>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   </t>
  </si>
  <si>
    <t>ACTUAL START DATE (yyyy/mm/dd)</t>
  </si>
  <si>
    <t>ANTICIPATED / ACTUAL END DATE (yyyy/mm/dd)                      (7)</t>
  </si>
  <si>
    <t>TOTAL PROJECT EXPENDITURE / VALUE OF WORK DONE TO-DATE (INCLUDING ALL COSTS, BUT EXCLUDING VAT)</t>
  </si>
  <si>
    <t>R</t>
  </si>
  <si>
    <t>ANNEX 1 (continued)</t>
  </si>
  <si>
    <t>BENEFICIARY DETAILS AND WORK INFORMATION</t>
  </si>
  <si>
    <t>CONTRACT OR WORKS PROJECT NUMBER:</t>
  </si>
  <si>
    <t>Year</t>
  </si>
  <si>
    <t>Month</t>
  </si>
  <si>
    <t>Sheet</t>
  </si>
  <si>
    <t>of</t>
  </si>
  <si>
    <t>(8)</t>
  </si>
  <si>
    <t>(9)</t>
  </si>
  <si>
    <t>(10)</t>
  </si>
  <si>
    <t>(11)</t>
  </si>
  <si>
    <t>(12)</t>
  </si>
  <si>
    <t>(13)</t>
  </si>
  <si>
    <t>(14)</t>
  </si>
  <si>
    <t>No.</t>
  </si>
  <si>
    <t>First name</t>
  </si>
  <si>
    <t>Surname</t>
  </si>
  <si>
    <t>ID number</t>
  </si>
  <si>
    <t>New Beneficiary (Y/N)</t>
  </si>
  <si>
    <t>Gender (M/F)</t>
  </si>
  <si>
    <t>Disabled (Y/N)</t>
  </si>
  <si>
    <t>Job seeker database (Y/N)</t>
  </si>
  <si>
    <t>Contract          start date (DDMMYY)</t>
  </si>
  <si>
    <t>Contract         end date (DDMMYY)</t>
  </si>
  <si>
    <t>No. days worked this month (excl. training)</t>
  </si>
  <si>
    <t>Training days</t>
  </si>
  <si>
    <t>Total Days worked</t>
  </si>
  <si>
    <t>Rate of pay         per day (R – c)</t>
  </si>
  <si>
    <t>Total wage cost</t>
  </si>
  <si>
    <t>N</t>
  </si>
  <si>
    <t>Y</t>
  </si>
  <si>
    <t>Declared by Contractor or Vendor to be true and correct:</t>
  </si>
  <si>
    <t>Name</t>
  </si>
  <si>
    <t>Signature</t>
  </si>
  <si>
    <t>Date</t>
  </si>
  <si>
    <t>Received by Employer's Agent / Representative:</t>
  </si>
</sst>
</file>

<file path=xl/styles.xml><?xml version="1.0" encoding="utf-8"?>
<styleSheet xmlns="http://schemas.openxmlformats.org/spreadsheetml/2006/main">
  <numFmts count="4">
    <numFmt numFmtId="168" formatCode="dd\-mmm\-yyyy"/>
    <numFmt numFmtId="169" formatCode="mmm\-yyyy"/>
    <numFmt numFmtId="170" formatCode="_ &quot;R&quot;\ * #,##0.00_ ;_ &quot;R&quot;\ * \-#,##0.00_ ;_ &quot;R&quot;\ * &quot;-&quot;??_ ;_ @_ "/>
    <numFmt numFmtId="171" formatCode="dd\-mmmm\-yyyy"/>
  </numFmts>
  <fonts count="15">
    <font>
      <sz val="10"/>
      <name val="Arial"/>
      <family val="2"/>
      <charset val="0"/>
      <color rgb="FF000000"/>
    </font>
    <font>
      <sz val="12"/>
      <name val="Arial"/>
      <family val="2"/>
      <charset val="0"/>
      <color rgb="FF000000"/>
      <b/>
    </font>
    <font>
      <sz val="8"/>
      <name val="Arial"/>
      <family val="2"/>
      <charset val="0"/>
      <color rgb="FF4F81BD"/>
    </font>
    <font>
      <sz val="8"/>
      <name val="Arial"/>
      <family val="2"/>
      <charset val="0"/>
      <color rgb="FFFFFFFF"/>
    </font>
    <font>
      <sz val="10"/>
      <name val="Arial"/>
      <family val="2"/>
      <charset val="0"/>
      <color rgb="FFFFFFFF"/>
    </font>
    <font>
      <sz val="8"/>
      <name val="Arial"/>
      <family val="2"/>
      <charset val="0"/>
      <color rgb="FF000000"/>
    </font>
    <font>
      <sz val="9"/>
      <name val="Arial"/>
      <family val="2"/>
      <charset val="0"/>
      <color rgb="FF000000"/>
      <b/>
    </font>
    <font>
      <sz val="8"/>
      <name val="Arial"/>
      <family val="2"/>
      <charset val="0"/>
      <color rgb="FF000000"/>
      <b/>
      <u/>
    </font>
    <font>
      <sz val="8"/>
      <name val="Arial"/>
      <family val="2"/>
      <charset val="0"/>
      <color rgb="FF000000"/>
      <b/>
    </font>
    <font>
      <sz val="8"/>
      <name val="Arial"/>
      <family val="2"/>
      <charset val="0"/>
    </font>
    <font>
      <sz val="10"/>
      <name val="Arial"/>
      <family val="2"/>
      <charset val="0"/>
      <color rgb="FF000000"/>
      <b/>
    </font>
    <font>
      <sz val="10"/>
      <name val="Arial"/>
      <family val="2"/>
      <charset val="0"/>
      <color rgb="FF0000FF"/>
      <u/>
    </font>
    <font>
      <sz val="8"/>
      <name val="Arial"/>
      <family val="2"/>
      <charset val="0"/>
      <color rgb="FFFF0000"/>
      <b/>
    </font>
    <font>
      <sz val="9"/>
      <name val="Arial"/>
      <family val="2"/>
      <charset val="0"/>
      <color rgb="FF000000"/>
    </font>
    <font>
      <sz val="9"/>
      <name val="Calibri"/>
      <family val="2"/>
      <charset val="0"/>
      <color rgb="FF000000"/>
    </font>
  </fonts>
  <fills count="5">
    <fill>
      <patternFill patternType="none"/>
    </fill>
    <fill>
      <patternFill patternType="lightGray"/>
    </fill>
    <fill>
      <patternFill patternType="solid">
        <fgColor rgb="FFF2F2F2"/>
      </patternFill>
    </fill>
    <fill>
      <patternFill patternType="solid">
        <fgColor rgb="FFFFFF00"/>
      </patternFill>
    </fill>
    <fill>
      <patternFill patternType="solid">
        <fgColor rgb="FFFFFFFF"/>
        <bgColor rgb="FFFFFFFF"/>
      </patternFill>
    </fill>
  </fills>
  <borders count="52">
    <border>
      <left style="none"/>
      <right style="none"/>
      <top style="none"/>
      <bottom style="none"/>
    </border>
    <border>
      <left style=""/>
      <right style=""/>
      <top style=""/>
      <bottom style=""/>
    </border>
    <border>
      <left style="thin"/>
      <right style="thin"/>
      <top style="thin"/>
      <bottom style="thin"/>
    </border>
    <border>
      <left style=""/>
      <right style=""/>
      <top style=""/>
      <bottom style="thin"/>
    </border>
    <border>
      <left style="medium"/>
      <right style=""/>
      <top style="medium"/>
      <bottom style=""/>
    </border>
    <border>
      <left style=""/>
      <right style=""/>
      <top style="medium"/>
      <bottom style=""/>
    </border>
    <border>
      <left style=""/>
      <right style="thin"/>
      <top style="medium"/>
      <bottom style=""/>
    </border>
    <border>
      <left style="thin"/>
      <right style=""/>
      <top style="medium"/>
      <bottom style=""/>
    </border>
    <border>
      <left style=""/>
      <right style="medium"/>
      <top style="medium"/>
      <bottom style=""/>
    </border>
    <border>
      <left style="medium"/>
      <right style=""/>
      <top style=""/>
      <bottom style="thin"/>
    </border>
    <border>
      <left style=""/>
      <right style="thin"/>
      <top style=""/>
      <bottom style="thin"/>
    </border>
    <border>
      <left style="thin"/>
      <right style=""/>
      <top style=""/>
      <bottom style="thin"/>
    </border>
    <border>
      <left style=""/>
      <right style="medium"/>
      <top style=""/>
      <bottom style="thin"/>
    </border>
    <border>
      <left style="medium"/>
      <right style=""/>
      <top style=""/>
      <bottom style=""/>
    </border>
    <border>
      <left style=""/>
      <right style="thin"/>
      <top style=""/>
      <bottom style=""/>
    </border>
    <border>
      <left style="thin"/>
      <right style=""/>
      <top style="thin"/>
      <bottom style="thin"/>
    </border>
    <border>
      <left style=""/>
      <right style=""/>
      <top style="thin"/>
      <bottom style="thin"/>
    </border>
    <border>
      <left style=""/>
      <right style="thin"/>
      <top style="thin"/>
      <bottom style="thin"/>
    </border>
    <border>
      <left style="thin"/>
      <right style=""/>
      <top style=""/>
      <bottom style=""/>
    </border>
    <border>
      <left style=""/>
      <right style="medium"/>
      <top style="thin"/>
      <bottom style="thin"/>
    </border>
    <border>
      <left style="medium"/>
      <right style=""/>
      <top style="thin"/>
      <bottom style=""/>
    </border>
    <border>
      <left style=""/>
      <right style=""/>
      <top style="thin"/>
      <bottom style=""/>
    </border>
    <border>
      <left style=""/>
      <right style="thin"/>
      <top style="thin"/>
      <bottom style=""/>
    </border>
    <border>
      <left style="thin"/>
      <right style=""/>
      <top style="thin"/>
      <bottom style=""/>
    </border>
    <border>
      <left style=""/>
      <right style="medium"/>
      <top style="thin"/>
      <bottom style=""/>
    </border>
    <border>
      <left style="thin"/>
      <right style="hair"/>
      <top style="thin"/>
      <bottom style="hair"/>
    </border>
    <border>
      <left style="hair"/>
      <right style="hair"/>
      <top style="thin"/>
      <bottom style="hair"/>
    </border>
    <border>
      <left style="hair"/>
      <right style="medium"/>
      <top style="thin"/>
      <bottom style="hair"/>
    </border>
    <border>
      <left style="thin"/>
      <right style="hair"/>
      <top style="hair"/>
      <bottom style="thin"/>
    </border>
    <border>
      <left style="hair"/>
      <right style="hair"/>
      <top style="hair"/>
      <bottom style="thin"/>
    </border>
    <border>
      <left style="hair"/>
      <right style="medium"/>
      <top style="hair"/>
      <bottom style="thin"/>
    </border>
    <border>
      <left style=""/>
      <right style="medium"/>
      <top style=""/>
      <bottom style=""/>
    </border>
    <border>
      <left style="medium"/>
      <right style="thin"/>
      <top style="thin"/>
      <bottom style="thin"/>
    </border>
    <border>
      <left style="thin"/>
      <right style="hair"/>
      <top style="thin"/>
      <bottom style="thin"/>
    </border>
    <border>
      <left style="hair"/>
      <right style="hair"/>
      <top style="thin"/>
      <bottom style="thin"/>
    </border>
    <border>
      <left style="hair"/>
      <right style="medium"/>
      <top style="thin"/>
      <bottom style="thin"/>
    </border>
    <border>
      <left style="medium"/>
      <right style="thin"/>
      <top style="thin"/>
      <bottom style="medium"/>
    </border>
    <border>
      <left style="thin"/>
      <right style="thin"/>
      <top style="thin"/>
      <bottom style="medium"/>
    </border>
    <border>
      <left style="thin"/>
      <right style=""/>
      <top style="thin"/>
      <bottom style="medium"/>
    </border>
    <border>
      <left style=""/>
      <right style="thin"/>
      <top style="thin"/>
      <bottom style="medium"/>
    </border>
    <border>
      <left style=""/>
      <right style=""/>
      <top style="thin"/>
      <bottom style="medium"/>
    </border>
    <border>
      <left style=""/>
      <right style=""/>
      <top style=""/>
      <bottom style="medium"/>
    </border>
    <border>
      <left style=""/>
      <right style="medium"/>
      <top style=""/>
      <bottom style="medium"/>
    </border>
    <border>
      <left style="medium"/>
      <right style="hair"/>
      <top style="thin"/>
      <bottom style="thin"/>
    </border>
    <border>
      <left style="hair"/>
      <right style="thin"/>
      <top style="thin"/>
      <bottom style="thin"/>
    </border>
    <border>
      <left style="medium"/>
      <right style="hair"/>
      <top style="thin"/>
      <bottom style="medium"/>
    </border>
    <border>
      <left style="hair"/>
      <right style="thin"/>
      <top style="thin"/>
      <bottom style="medium"/>
    </border>
    <border>
      <left style=""/>
      <right style="hair"/>
      <top style="thin"/>
      <bottom style="medium"/>
    </border>
    <border>
      <left style="hair"/>
      <right style=""/>
      <top style="thin"/>
      <bottom style="medium"/>
    </border>
    <border>
      <left style="hair"/>
      <right style="hair"/>
      <top style="thin"/>
      <bottom style="medium"/>
    </border>
    <border>
      <left style="thin"/>
      <right style="hair"/>
      <top style="thin"/>
      <bottom style="medium"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Xfs count="184">
    <xf applyAlignment="0" applyBorder="0" applyFont="0" applyFill="0" applyNumberFormat="0" applyProtection="0" borderId="0" fillId="0" fontId="0" numFmtId="0">
      <alignment horizontal="general" indent="0" shrinkToFit="0" textRotation="0" vertical="bottom" wrapText="0"/>
    </xf>
    <xf applyAlignment="0" applyBorder="0" applyFont="0" applyFill="0" applyNumberFormat="0" applyProtection="0" borderId="1" fillId="0" fontId="0" numFmtId="0" xfId="0">
      <alignment horizontal="general" indent="0" shrinkToFit="0" textRotation="0" vertical="bottom" wrapText="0"/>
    </xf>
    <xf applyAlignment="0" applyBorder="0" applyFont="1" applyFill="0" applyNumberFormat="0" applyProtection="0" borderId="1" fillId="0" fontId="1" numFmtId="0" xfId="0">
      <alignment horizontal="general" indent="0" shrinkToFit="0" textRotation="0" vertical="bottom" wrapText="0"/>
    </xf>
    <xf applyAlignment="1" applyBorder="0" applyFont="1" applyFill="0" applyNumberFormat="0" applyProtection="0" borderId="1" fillId="0" fontId="1" numFmtId="0" xfId="0">
      <alignment horizontal="center" indent="0" shrinkToFit="0" textRotation="0" vertical="bottom" wrapText="0"/>
    </xf>
    <xf applyAlignment="0" applyBorder="1" applyFont="1" applyFill="1" applyNumberFormat="1" applyProtection="0" borderId="2" fillId="2" fontId="2" numFmtId="168" xfId="0">
      <alignment horizontal="general" indent="0" shrinkToFit="0" textRotation="0" vertical="bottom" wrapText="0"/>
    </xf>
    <xf applyAlignment="1" applyBorder="0" applyFont="1" applyFill="0" applyNumberFormat="1" applyProtection="0" borderId="1" fillId="0" fontId="3" numFmtId="14" xfId="0">
      <alignment horizontal="center" indent="0" shrinkToFit="0" textRotation="0" vertical="center" wrapText="0"/>
    </xf>
    <xf applyAlignment="0" applyBorder="0" applyFont="1" applyFill="0" applyNumberFormat="0" applyProtection="0" borderId="1" fillId="0" fontId="4" numFmtId="0" xfId="0">
      <alignment horizontal="general" indent="0" shrinkToFit="0" textRotation="0" vertical="bottom" wrapText="0"/>
    </xf>
    <xf applyAlignment="0" applyBorder="0" applyFont="1" applyFill="0" applyNumberFormat="0" applyProtection="0" borderId="1" fillId="0" fontId="5" numFmtId="0" xfId="0">
      <alignment horizontal="general" indent="0" shrinkToFit="0" textRotation="0" vertical="bottom" wrapText="0"/>
    </xf>
    <xf applyAlignment="1" applyBorder="0" applyFont="1" applyFill="0" applyNumberFormat="0" applyProtection="0" borderId="1" fillId="0" fontId="3" numFmtId="0" xfId="0">
      <alignment horizontal="center" indent="0" shrinkToFit="0" textRotation="0" vertical="center" wrapText="0"/>
    </xf>
    <xf applyAlignment="0" applyBorder="0" applyFont="1" applyFill="0" applyNumberFormat="0" applyProtection="0" borderId="1" fillId="0" fontId="3" numFmtId="0" xfId="0">
      <alignment horizontal="general" indent="0" shrinkToFit="0" textRotation="0" vertical="bottom" wrapText="0"/>
    </xf>
    <xf applyAlignment="0" applyBorder="0" applyFont="1" applyFill="0" applyNumberFormat="0" applyProtection="0" borderId="1" fillId="0" fontId="6" numFmtId="0" xfId="0">
      <alignment horizontal="general" indent="0" shrinkToFit="0" textRotation="0" vertical="bottom" wrapText="0"/>
    </xf>
    <xf applyAlignment="1" applyBorder="0" applyFont="1" applyFill="0" applyNumberFormat="0" applyProtection="0" borderId="1" fillId="0" fontId="3" numFmtId="0" xfId="0">
      <alignment horizontal="center" indent="0" shrinkToFit="0" textRotation="0" vertical="bottom" wrapText="0"/>
    </xf>
    <xf applyAlignment="0" applyBorder="0" applyFont="1" applyFill="0" applyNumberFormat="0" applyProtection="0" borderId="1" fillId="0" fontId="7" numFmtId="0" xfId="0">
      <alignment horizontal="general" indent="0" shrinkToFit="0" textRotation="0" vertical="bottom" wrapText="0"/>
    </xf>
    <xf applyAlignment="0" applyBorder="0" applyFont="1" applyFill="0" applyNumberFormat="0" applyProtection="0" borderId="1" fillId="0" fontId="8" numFmtId="0" xfId="0">
      <alignment horizontal="general" indent="0" shrinkToFit="0" textRotation="0" vertical="bottom" wrapText="0"/>
    </xf>
    <xf applyAlignment="1" applyBorder="0" applyFont="0" applyFill="0" applyNumberFormat="0" applyProtection="0" borderId="1" fillId="0" fontId="0" numFmtId="0" xfId="0">
      <alignment horizontal="center" indent="0" shrinkToFit="0" textRotation="0" vertical="bottom" wrapText="0"/>
    </xf>
    <xf applyAlignment="1" applyBorder="0" applyFont="0" applyFill="0" applyNumberFormat="0" applyProtection="0" borderId="1" fillId="0" fontId="0" numFmtId="0" xfId="0">
      <alignment horizontal="left" indent="0" shrinkToFit="0" textRotation="0" vertical="center" wrapText="0"/>
    </xf>
    <xf applyAlignment="1" applyBorder="0" applyFont="1" applyFill="0" applyNumberFormat="1" applyProtection="0" borderId="1" fillId="0" fontId="5" numFmtId="3" xfId="0">
      <alignment horizontal="left" indent="0" shrinkToFit="0" textRotation="0" vertical="top" wrapText="0"/>
    </xf>
    <xf applyAlignment="1" applyBorder="0" applyFont="1" applyFill="1" applyNumberFormat="0" applyProtection="0" borderId="1" fillId="3" fontId="5" numFmtId="0" xfId="0">
      <alignment horizontal="left" indent="0" shrinkToFit="0" textRotation="0" vertical="top" wrapText="0"/>
    </xf>
    <xf applyAlignment="0" applyBorder="0" applyFont="0" applyFill="1" applyNumberFormat="0" applyProtection="0" borderId="1" fillId="3" fontId="0" numFmtId="0" xfId="0">
      <alignment horizontal="general" indent="0" shrinkToFit="0" textRotation="0" vertical="bottom" wrapText="0"/>
    </xf>
    <xf applyAlignment="1" applyBorder="0" applyFont="0" applyFill="1" applyNumberFormat="0" applyProtection="0" borderId="1" fillId="3" fontId="0" numFmtId="0" xfId="0">
      <alignment horizontal="left" indent="0" shrinkToFit="0" textRotation="0" vertical="bottom" wrapText="0"/>
    </xf>
    <xf applyAlignment="1" applyBorder="0" applyFont="1" applyFill="0" applyNumberFormat="0" applyProtection="0" borderId="1" fillId="0" fontId="5" numFmtId="0" xfId="0">
      <alignment horizontal="left" indent="0" shrinkToFit="0" textRotation="0" vertical="top" wrapText="0"/>
    </xf>
    <xf applyAlignment="1" applyBorder="0" applyFont="1" applyFill="0" applyNumberFormat="0" applyProtection="0" borderId="1" fillId="0" fontId="5" numFmtId="0" xfId="0">
      <alignment horizontal="general" indent="0" shrinkToFit="0" textRotation="0" vertical="top" wrapText="0"/>
    </xf>
    <xf applyAlignment="1" applyBorder="0" applyFont="0" applyFill="0" applyNumberFormat="0" applyProtection="0" borderId="1" fillId="0" fontId="0" numFmtId="0" xfId="0">
      <alignment horizontal="left" indent="0" shrinkToFit="0" textRotation="0" vertical="bottom" wrapText="0"/>
    </xf>
    <xf applyAlignment="1" applyBorder="0" applyFont="1" applyFill="0" applyNumberFormat="0" applyProtection="0" borderId="1" fillId="0" fontId="2" numFmtId="0" xfId="0">
      <alignment horizontal="general" indent="0" shrinkToFit="0" textRotation="0" vertical="top" wrapText="0"/>
    </xf>
    <xf applyAlignment="1" applyBorder="1" applyFont="1" applyFill="0" applyNumberFormat="1" applyProtection="0" borderId="3" fillId="0" fontId="5" numFmtId="4" xfId="0">
      <alignment horizontal="general" indent="0" shrinkToFit="0" textRotation="0" vertical="top" wrapText="0"/>
    </xf>
    <xf applyAlignment="1" applyBorder="0" applyFont="1" applyFill="0" applyNumberFormat="0" applyProtection="0" borderId="1" fillId="0" fontId="9" numFmtId="0" xfId="0">
      <alignment horizontal="center" indent="0" shrinkToFit="0" textRotation="0" vertical="center" wrapText="0"/>
    </xf>
    <xf applyAlignment="0" applyBorder="0" applyFont="1" applyFill="0" applyNumberFormat="1" applyProtection="0" borderId="1" fillId="0" fontId="5" numFmtId="4" xfId="0">
      <alignment horizontal="general" indent="0" shrinkToFit="0" textRotation="0" vertical="bottom" wrapText="0"/>
    </xf>
    <xf applyAlignment="0" applyBorder="0" applyFont="1" applyFill="0" applyNumberFormat="1" applyProtection="0" borderId="1" fillId="0" fontId="2" numFmtId="169" xfId="0">
      <alignment horizontal="general" indent="0" shrinkToFit="0" textRotation="0" vertical="bottom" wrapText="0"/>
    </xf>
    <xf applyAlignment="1" applyBorder="0" applyFont="1" applyFill="0" applyNumberFormat="1" applyProtection="0" borderId="1" fillId="0" fontId="5" numFmtId="4" xfId="0">
      <alignment horizontal="left" indent="0" shrinkToFit="0" textRotation="0" vertical="top" wrapText="0"/>
    </xf>
    <xf applyAlignment="1" applyBorder="0" applyFont="1" applyFill="0" applyNumberFormat="0" applyProtection="0" borderId="1" fillId="0" fontId="7" numFmtId="0" xfId="0">
      <alignment horizontal="left" indent="0" shrinkToFit="0" textRotation="0" vertical="bottom" wrapText="0"/>
    </xf>
    <xf applyAlignment="1" applyBorder="0" applyFont="1" applyFill="1" applyNumberFormat="0" applyProtection="0" borderId="1" fillId="3" fontId="7" numFmtId="0" xfId="0">
      <alignment horizontal="left" indent="0" shrinkToFit="0" textRotation="0" vertical="bottom" wrapText="0"/>
    </xf>
    <xf applyAlignment="1" applyBorder="0" applyFont="0" applyFill="0" applyNumberFormat="0" applyProtection="0" borderId="1" fillId="0" fontId="0" numFmtId="0" xfId="0">
      <alignment horizontal="left" indent="0" shrinkToFit="0" textRotation="0" vertical="top" wrapText="0"/>
    </xf>
    <xf applyAlignment="1" applyBorder="0" applyFont="1" applyFill="1" applyNumberFormat="1" applyProtection="0" borderId="1" fillId="3" fontId="5" numFmtId="3" xfId="0">
      <alignment horizontal="left" indent="0" shrinkToFit="0" textRotation="0" vertical="top" wrapText="0"/>
    </xf>
    <xf applyAlignment="0" applyBorder="0" applyFont="1" applyFill="0" applyNumberFormat="1" applyProtection="0" borderId="1" fillId="0" fontId="8" numFmtId="4" xfId="0">
      <alignment horizontal="general" indent="0" shrinkToFit="0" textRotation="0" vertical="bottom" wrapText="0"/>
    </xf>
    <xf applyAlignment="1" applyBorder="0" applyFont="1" applyFill="0" applyNumberFormat="1" applyProtection="0" borderId="1" fillId="0" fontId="5" numFmtId="4" xfId="0">
      <alignment horizontal="general" indent="0" shrinkToFit="0" textRotation="0" vertical="top" wrapText="0"/>
    </xf>
    <xf applyAlignment="1" applyBorder="0" applyFont="1" applyFill="0" applyNumberFormat="0" applyProtection="0" borderId="1" fillId="0" fontId="8" numFmtId="0" xfId="0">
      <alignment horizontal="left" indent="0" shrinkToFit="0" textRotation="0" vertical="bottom" wrapText="0"/>
    </xf>
    <xf applyAlignment="1" applyBorder="0" applyFont="1" applyFill="0" applyNumberFormat="0" applyProtection="0" borderId="1" fillId="0" fontId="5" numFmtId="0" xfId="0">
      <alignment horizontal="center" indent="0" shrinkToFit="0" textRotation="0" vertical="bottom" wrapText="0"/>
    </xf>
    <xf applyAlignment="1" applyBorder="0" applyFont="1" applyFill="0" applyNumberFormat="0" applyProtection="0" borderId="1" fillId="0" fontId="5" numFmtId="0" xfId="0">
      <alignment horizontal="left" indent="0" shrinkToFit="0" textRotation="0" vertical="bottom" wrapText="0"/>
    </xf>
    <xf applyAlignment="0" applyBorder="0" applyFont="1" applyFill="0" applyNumberFormat="1" applyProtection="0" borderId="1" fillId="0" fontId="5" numFmtId="169" xfId="0">
      <alignment horizontal="general" indent="0" shrinkToFit="0" textRotation="0" vertical="bottom" wrapText="0"/>
    </xf>
    <xf applyAlignment="1" applyBorder="0" applyFont="1" applyFill="0" applyNumberFormat="0" applyProtection="0" borderId="1" fillId="0" fontId="10" numFmtId="0" xfId="0">
      <alignment horizontal="center" indent="0" shrinkToFit="0" textRotation="0" vertical="bottom" wrapText="0"/>
    </xf>
    <xf applyAlignment="0" applyBorder="0" applyFont="0" applyFill="0" applyNumberFormat="1" applyProtection="0" borderId="1" fillId="0" fontId="0" numFmtId="4" xfId="0">
      <alignment horizontal="general" indent="0" shrinkToFit="0" textRotation="0" vertical="bottom" wrapText="0"/>
    </xf>
    <xf applyAlignment="0" applyBorder="0" applyFont="0" applyFill="0" applyNumberFormat="1" applyProtection="0" borderId="1" fillId="0" fontId="0" numFmtId="169" xfId="0">
      <alignment horizontal="general" indent="0" shrinkToFit="0" textRotation="0" vertical="bottom" wrapText="0"/>
    </xf>
    <xf applyAlignment="1" applyBorder="1" applyFont="1" applyFill="0" applyNumberFormat="0" applyProtection="0" borderId="4" fillId="0" fontId="5" numFmtId="0" xfId="0">
      <alignment horizontal="left" indent="0" shrinkToFit="0" textRotation="0" vertical="bottom" wrapText="0"/>
    </xf>
    <xf applyAlignment="1" applyBorder="1" applyFont="1" applyFill="0" applyNumberFormat="0" applyProtection="0" borderId="5" fillId="0" fontId="5" numFmtId="0" xfId="0">
      <alignment horizontal="left" indent="0" shrinkToFit="0" textRotation="0" vertical="bottom" wrapText="0"/>
    </xf>
    <xf applyAlignment="1" applyBorder="1" applyFont="1" applyFill="0" applyNumberFormat="0" applyProtection="0" borderId="5" fillId="0" fontId="5" numFmtId="0" xfId="0">
      <alignment horizontal="center" indent="0" shrinkToFit="0" textRotation="0" vertical="bottom" wrapText="0"/>
    </xf>
    <xf applyAlignment="1" applyBorder="1" applyFont="1" applyFill="0" applyNumberFormat="0" applyProtection="0" borderId="6" fillId="0" fontId="5" numFmtId="0" xfId="0">
      <alignment horizontal="center" indent="0" shrinkToFit="0" textRotation="0" vertical="bottom" wrapText="0"/>
    </xf>
    <xf applyAlignment="1" applyBorder="1" applyFont="1" applyFill="0" applyNumberFormat="0" applyProtection="0" borderId="7" fillId="0" fontId="8" numFmtId="0" xfId="0">
      <alignment horizontal="left" indent="0" shrinkToFit="0" textRotation="0" vertical="center" wrapText="1"/>
    </xf>
    <xf applyAlignment="1" applyBorder="1" applyFont="1" applyFill="0" applyNumberFormat="0" applyProtection="0" borderId="5" fillId="0" fontId="5" numFmtId="0" xfId="0">
      <alignment horizontal="left" indent="0" shrinkToFit="0" textRotation="0" vertical="center" wrapText="1"/>
    </xf>
    <xf applyAlignment="1" applyBorder="1" applyFont="1" applyFill="0" applyNumberFormat="0" applyProtection="0" borderId="6" fillId="0" fontId="5" numFmtId="0" xfId="0">
      <alignment horizontal="left" indent="0" shrinkToFit="0" textRotation="0" vertical="center" wrapText="1"/>
    </xf>
    <xf applyAlignment="1" applyBorder="1" applyFont="1" applyFill="0" applyNumberFormat="0" applyProtection="0" borderId="7" fillId="0" fontId="5" numFmtId="0" xfId="0">
      <alignment horizontal="general" indent="0" shrinkToFit="0" textRotation="0" vertical="top" wrapText="0"/>
    </xf>
    <xf applyAlignment="1" applyBorder="1" applyFont="1" applyFill="0" applyNumberFormat="0" applyProtection="0" borderId="5" fillId="0" fontId="5" numFmtId="0" xfId="0">
      <alignment horizontal="general" indent="0" shrinkToFit="0" textRotation="0" vertical="top" wrapText="0"/>
    </xf>
    <xf applyAlignment="1" applyBorder="1" applyFont="1" applyFill="0" applyNumberFormat="0" applyProtection="0" borderId="7" fillId="0" fontId="6" numFmtId="0" xfId="0">
      <alignment horizontal="left" indent="0" shrinkToFit="0" textRotation="0" vertical="center" wrapText="1"/>
    </xf>
    <xf applyAlignment="1" applyBorder="1" applyFont="1" applyFill="0" applyNumberFormat="0" applyProtection="0" borderId="5" fillId="0" fontId="6" numFmtId="0" xfId="0">
      <alignment horizontal="left" indent="0" shrinkToFit="0" textRotation="0" vertical="center" wrapText="1"/>
    </xf>
    <xf applyAlignment="1" applyBorder="1" applyFont="1" applyFill="0" applyNumberFormat="0" applyProtection="0" borderId="8" fillId="0" fontId="6" numFmtId="0" xfId="0">
      <alignment horizontal="left" indent="0" shrinkToFit="0" textRotation="0" vertical="center" wrapText="1"/>
    </xf>
    <xf applyAlignment="1" applyBorder="1" applyFont="1" applyFill="0" applyNumberFormat="0" applyProtection="0" borderId="9" fillId="0" fontId="5" numFmtId="0" xfId="0">
      <alignment horizontal="left" indent="0" shrinkToFit="0" textRotation="0" vertical="bottom" wrapText="0"/>
    </xf>
    <xf applyAlignment="1" applyBorder="1" applyFont="1" applyFill="0" applyNumberFormat="0" applyProtection="0" borderId="3" fillId="0" fontId="5" numFmtId="0" xfId="0">
      <alignment horizontal="left" indent="0" shrinkToFit="0" textRotation="0" vertical="bottom" wrapText="0"/>
    </xf>
    <xf applyAlignment="1" applyBorder="1" applyFont="1" applyFill="0" applyNumberFormat="0" applyProtection="0" borderId="10" fillId="0" fontId="5" numFmtId="0" xfId="0">
      <alignment horizontal="center" indent="0" shrinkToFit="0" textRotation="0" vertical="bottom" wrapText="0"/>
    </xf>
    <xf applyAlignment="1" applyBorder="1" applyFont="1" applyFill="0" applyNumberFormat="0" applyProtection="0" borderId="11" fillId="0" fontId="5" numFmtId="0" xfId="0">
      <alignment horizontal="left" indent="0" shrinkToFit="0" textRotation="0" vertical="center" wrapText="1"/>
    </xf>
    <xf applyAlignment="1" applyBorder="1" applyFont="1" applyFill="0" applyNumberFormat="0" applyProtection="0" borderId="3" fillId="0" fontId="5" numFmtId="0" xfId="0">
      <alignment horizontal="left" indent="0" shrinkToFit="0" textRotation="0" vertical="center" wrapText="1"/>
    </xf>
    <xf applyAlignment="1" applyBorder="1" applyFont="1" applyFill="0" applyNumberFormat="0" applyProtection="0" borderId="10" fillId="0" fontId="5" numFmtId="0" xfId="0">
      <alignment horizontal="left" indent="0" shrinkToFit="0" textRotation="0" vertical="center" wrapText="1"/>
    </xf>
    <xf applyAlignment="1" applyBorder="1" applyFont="1" applyFill="0" applyNumberFormat="0" applyProtection="0" borderId="11" fillId="0" fontId="5" numFmtId="0" xfId="0">
      <alignment horizontal="general" indent="0" shrinkToFit="0" textRotation="0" vertical="top" wrapText="0"/>
    </xf>
    <xf applyAlignment="1" applyBorder="1" applyFont="1" applyFill="0" applyNumberFormat="0" applyProtection="0" borderId="3" fillId="0" fontId="5" numFmtId="0" xfId="0">
      <alignment horizontal="general" indent="0" shrinkToFit="0" textRotation="0" vertical="top" wrapText="0"/>
    </xf>
    <xf applyAlignment="1" applyBorder="1" applyFont="1" applyFill="0" applyNumberFormat="0" applyProtection="0" borderId="11" fillId="0" fontId="6" numFmtId="0" xfId="0">
      <alignment horizontal="left" indent="0" shrinkToFit="0" textRotation="0" vertical="center" wrapText="1"/>
    </xf>
    <xf applyAlignment="1" applyBorder="1" applyFont="1" applyFill="0" applyNumberFormat="0" applyProtection="0" borderId="3" fillId="0" fontId="6" numFmtId="0" xfId="0">
      <alignment horizontal="left" indent="0" shrinkToFit="0" textRotation="0" vertical="center" wrapText="1"/>
    </xf>
    <xf applyAlignment="1" applyBorder="1" applyFont="1" applyFill="0" applyNumberFormat="0" applyProtection="0" borderId="12" fillId="0" fontId="6" numFmtId="0" xfId="0">
      <alignment horizontal="left" indent="0" shrinkToFit="0" textRotation="0" vertical="center" wrapText="1"/>
    </xf>
    <xf applyAlignment="1" applyBorder="1" applyFont="1" applyFill="0" applyNumberFormat="0" applyProtection="0" borderId="13" fillId="0" fontId="5" numFmtId="0" xfId="0">
      <alignment horizontal="left" indent="0" shrinkToFit="0" textRotation="0" vertical="center" wrapText="0"/>
    </xf>
    <xf applyAlignment="1" applyBorder="1" applyFont="1" applyFill="0" applyNumberFormat="0" applyProtection="0" borderId="14" fillId="0" fontId="5" numFmtId="0" xfId="0">
      <alignment horizontal="center" indent="0" shrinkToFit="0" textRotation="0" vertical="bottom" wrapText="0"/>
    </xf>
    <xf applyAlignment="1" applyBorder="1" applyFont="1" applyFill="0" applyNumberFormat="0" applyProtection="0" borderId="15" fillId="0" fontId="8" numFmtId="0" xfId="0">
      <alignment horizontal="left" indent="0" shrinkToFit="0" textRotation="0" vertical="center" wrapText="0"/>
    </xf>
    <xf applyAlignment="1" applyBorder="1" applyFont="1" applyFill="0" applyNumberFormat="0" applyProtection="0" borderId="16" fillId="0" fontId="8" numFmtId="0" xfId="0">
      <alignment horizontal="left" indent="0" shrinkToFit="0" textRotation="0" vertical="center" wrapText="0"/>
    </xf>
    <xf applyAlignment="1" applyBorder="1" applyFont="1" applyFill="0" applyNumberFormat="0" applyProtection="0" borderId="17" fillId="0" fontId="8" numFmtId="0" xfId="0">
      <alignment horizontal="left" indent="0" shrinkToFit="0" textRotation="0" vertical="center" wrapText="0"/>
    </xf>
    <xf applyAlignment="1" applyBorder="1" applyFont="1" applyFill="0" applyNumberFormat="0" applyProtection="0" borderId="18" fillId="0" fontId="5" numFmtId="0" xfId="0">
      <alignment horizontal="general" indent="0" shrinkToFit="0" textRotation="0" vertical="center" wrapText="0"/>
    </xf>
    <xf applyAlignment="1" applyBorder="1" applyFont="1" applyFill="0" applyNumberFormat="0" applyProtection="0" borderId="16" fillId="0" fontId="5" numFmtId="0" xfId="0">
      <alignment horizontal="left" indent="0" shrinkToFit="0" textRotation="0" vertical="center" wrapText="0"/>
    </xf>
    <xf applyAlignment="1" applyBorder="1" applyFont="1" applyFill="0" applyNumberFormat="0" applyProtection="0" borderId="19" fillId="0" fontId="5" numFmtId="0" xfId="0">
      <alignment horizontal="left" indent="0" shrinkToFit="0" textRotation="0" vertical="center" wrapText="0"/>
    </xf>
    <xf applyAlignment="1" applyBorder="1" applyFont="1" applyFill="0" applyNumberFormat="0" applyProtection="0" borderId="20" fillId="0" fontId="5" numFmtId="0" xfId="0">
      <alignment horizontal="left" indent="0" shrinkToFit="0" textRotation="0" vertical="bottom" wrapText="0"/>
    </xf>
    <xf applyAlignment="1" applyBorder="1" applyFont="1" applyFill="0" applyNumberFormat="0" applyProtection="0" borderId="21" fillId="0" fontId="5" numFmtId="0" xfId="0">
      <alignment horizontal="left" indent="0" shrinkToFit="0" textRotation="0" vertical="bottom" wrapText="0"/>
    </xf>
    <xf applyAlignment="1" applyBorder="1" applyFont="1" applyFill="0" applyNumberFormat="0" applyProtection="0" borderId="22" fillId="0" fontId="5" numFmtId="0" xfId="0">
      <alignment horizontal="center" indent="0" shrinkToFit="0" textRotation="0" vertical="bottom" wrapText="0"/>
    </xf>
    <xf applyAlignment="1" applyBorder="1" applyFont="1" applyFill="0" applyNumberFormat="0" applyProtection="0" borderId="23" fillId="0" fontId="8" numFmtId="0" xfId="0">
      <alignment horizontal="left" indent="0" shrinkToFit="0" textRotation="0" vertical="center" wrapText="1"/>
    </xf>
    <xf applyAlignment="1" applyBorder="1" applyFont="1" applyFill="0" applyNumberFormat="0" applyProtection="0" borderId="21" fillId="0" fontId="8" numFmtId="0" xfId="0">
      <alignment horizontal="left" indent="0" shrinkToFit="0" textRotation="0" vertical="center" wrapText="1"/>
    </xf>
    <xf applyAlignment="1" applyBorder="1" applyFont="1" applyFill="0" applyNumberFormat="0" applyProtection="0" borderId="22" fillId="0" fontId="8" numFmtId="0" xfId="0">
      <alignment horizontal="left" indent="0" shrinkToFit="0" textRotation="0" vertical="center" wrapText="1"/>
    </xf>
    <xf applyAlignment="1" applyBorder="1" applyFont="1" applyFill="0" applyNumberFormat="0" applyProtection="0" borderId="23" fillId="0" fontId="5" numFmtId="0" xfId="0">
      <alignment horizontal="left" indent="0" shrinkToFit="0" textRotation="0" vertical="top" wrapText="0"/>
    </xf>
    <xf applyAlignment="1" applyBorder="1" applyFont="1" applyFill="0" applyNumberFormat="0" applyProtection="0" borderId="21" fillId="0" fontId="5" numFmtId="0" xfId="0">
      <alignment horizontal="left" indent="0" shrinkToFit="0" textRotation="0" vertical="top" wrapText="0"/>
    </xf>
    <xf applyAlignment="1" applyBorder="1" applyFont="1" applyFill="0" applyNumberFormat="0" applyProtection="0" borderId="21" fillId="0" fontId="5" numFmtId="0" xfId="0">
      <alignment horizontal="general" indent="0" shrinkToFit="0" textRotation="0" vertical="top" wrapText="1"/>
    </xf>
    <xf applyAlignment="1" applyBorder="1" applyFont="0" applyFill="1" applyNumberFormat="1" applyProtection="0" borderId="23" fillId="0" fontId="11" numFmtId="49" xfId="1">
      <alignment horizontal="left" indent="0" shrinkToFit="0" textRotation="0" vertical="center" wrapText="1"/>
    </xf>
    <xf applyAlignment="1" applyBorder="1" applyFont="1" applyFill="0" applyNumberFormat="1" applyProtection="0" borderId="21" fillId="0" fontId="5" numFmtId="49" xfId="0">
      <alignment horizontal="left" indent="0" shrinkToFit="0" textRotation="0" vertical="center" wrapText="1"/>
    </xf>
    <xf applyAlignment="1" applyBorder="1" applyFont="1" applyFill="0" applyNumberFormat="1" applyProtection="0" borderId="24" fillId="0" fontId="5" numFmtId="49" xfId="0">
      <alignment horizontal="left" indent="0" shrinkToFit="0" textRotation="0" vertical="center" wrapText="1"/>
    </xf>
    <xf applyAlignment="1" applyBorder="1" applyFont="1" applyFill="0" applyNumberFormat="0" applyProtection="0" borderId="11" fillId="0" fontId="8" numFmtId="0" xfId="0">
      <alignment horizontal="left" indent="0" shrinkToFit="0" textRotation="0" vertical="center" wrapText="1"/>
    </xf>
    <xf applyAlignment="1" applyBorder="1" applyFont="1" applyFill="0" applyNumberFormat="0" applyProtection="0" borderId="3" fillId="0" fontId="8" numFmtId="0" xfId="0">
      <alignment horizontal="left" indent="0" shrinkToFit="0" textRotation="0" vertical="center" wrapText="1"/>
    </xf>
    <xf applyAlignment="1" applyBorder="1" applyFont="1" applyFill="0" applyNumberFormat="0" applyProtection="0" borderId="10" fillId="0" fontId="8" numFmtId="0" xfId="0">
      <alignment horizontal="left" indent="0" shrinkToFit="0" textRotation="0" vertical="center" wrapText="1"/>
    </xf>
    <xf applyAlignment="1" applyBorder="1" applyFont="1" applyFill="0" applyNumberFormat="0" applyProtection="0" borderId="11" fillId="0" fontId="5" numFmtId="0" xfId="0">
      <alignment horizontal="left" indent="0" shrinkToFit="0" textRotation="0" vertical="top" wrapText="0"/>
    </xf>
    <xf applyAlignment="1" applyBorder="1" applyFont="1" applyFill="0" applyNumberFormat="0" applyProtection="0" borderId="3" fillId="0" fontId="5" numFmtId="0" xfId="0">
      <alignment horizontal="left" indent="0" shrinkToFit="0" textRotation="0" vertical="top" wrapText="0"/>
    </xf>
    <xf applyAlignment="1" applyBorder="1" applyFont="1" applyFill="0" applyNumberFormat="0" applyProtection="0" borderId="3" fillId="0" fontId="5" numFmtId="0" xfId="0">
      <alignment horizontal="general" indent="0" shrinkToFit="0" textRotation="0" vertical="top" wrapText="1"/>
    </xf>
    <xf applyAlignment="1" applyBorder="1" applyFont="1" applyFill="0" applyNumberFormat="1" applyProtection="0" borderId="11" fillId="0" fontId="5" numFmtId="49" xfId="0">
      <alignment horizontal="left" indent="0" shrinkToFit="0" textRotation="0" vertical="center" wrapText="1"/>
    </xf>
    <xf applyAlignment="1" applyBorder="1" applyFont="1" applyFill="0" applyNumberFormat="1" applyProtection="0" borderId="3" fillId="0" fontId="5" numFmtId="49" xfId="0">
      <alignment horizontal="left" indent="0" shrinkToFit="0" textRotation="0" vertical="center" wrapText="1"/>
    </xf>
    <xf applyAlignment="1" applyBorder="1" applyFont="1" applyFill="0" applyNumberFormat="1" applyProtection="0" borderId="12" fillId="0" fontId="5" numFmtId="49" xfId="0">
      <alignment horizontal="left" indent="0" shrinkToFit="0" textRotation="0" vertical="center" wrapText="1"/>
    </xf>
    <xf applyAlignment="1" applyBorder="1" applyFont="1" applyFill="0" applyNumberFormat="0" applyProtection="0" borderId="13" fillId="0" fontId="5" numFmtId="0" xfId="0">
      <alignment horizontal="left" indent="0" shrinkToFit="0" textRotation="0" vertical="bottom" wrapText="0"/>
    </xf>
    <xf applyAlignment="1" applyBorder="1" applyFont="1" applyFill="0" applyNumberFormat="0" applyProtection="0" borderId="18" fillId="0" fontId="5" numFmtId="0" xfId="0">
      <alignment horizontal="general" indent="0" shrinkToFit="0" textRotation="0" vertical="top" wrapText="0"/>
    </xf>
    <xf applyAlignment="1" applyBorder="1" applyFont="1" applyFill="0" applyNumberFormat="0" applyProtection="0" borderId="14" fillId="0" fontId="5" numFmtId="0" xfId="0">
      <alignment horizontal="left" indent="0" shrinkToFit="0" textRotation="0" vertical="bottom" wrapText="0"/>
    </xf>
    <xf applyAlignment="1" applyBorder="1" applyFont="1" applyFill="0" applyNumberFormat="0" applyProtection="0" borderId="23" fillId="0" fontId="5" numFmtId="0" xfId="0">
      <alignment horizontal="center" indent="0" shrinkToFit="0" textRotation="0" vertical="bottom" wrapText="0"/>
    </xf>
    <xf applyAlignment="1" applyBorder="1" applyFont="1" applyFill="0" applyNumberFormat="0" applyProtection="0" borderId="25" fillId="0" fontId="8" numFmtId="0" xfId="0">
      <alignment horizontal="center" indent="0" shrinkToFit="0" textRotation="0" vertical="center" wrapText="0"/>
    </xf>
    <xf applyAlignment="1" applyBorder="1" applyFont="1" applyFill="0" applyNumberFormat="0" applyProtection="0" borderId="26" fillId="0" fontId="8" numFmtId="0" xfId="0">
      <alignment horizontal="center" indent="0" shrinkToFit="0" textRotation="0" vertical="center" wrapText="0"/>
    </xf>
    <xf applyAlignment="1" applyBorder="1" applyFont="1" applyFill="0" applyNumberFormat="0" applyProtection="0" borderId="27" fillId="0" fontId="8" numFmtId="0" xfId="0">
      <alignment horizontal="center" indent="0" shrinkToFit="0" textRotation="0" vertical="center" wrapText="0"/>
    </xf>
    <xf applyAlignment="1" applyBorder="1" applyFont="1" applyFill="0" applyNumberFormat="0" applyProtection="0" borderId="10" fillId="0" fontId="5" numFmtId="0" xfId="0">
      <alignment horizontal="left" indent="0" shrinkToFit="0" textRotation="0" vertical="bottom" wrapText="0"/>
    </xf>
    <xf applyAlignment="1" applyBorder="1" applyFont="1" applyFill="0" applyNumberFormat="0" applyProtection="0" borderId="11" fillId="0" fontId="5" numFmtId="0" xfId="0">
      <alignment horizontal="center" indent="0" shrinkToFit="0" textRotation="0" vertical="bottom" wrapText="0"/>
    </xf>
    <xf applyAlignment="1" applyBorder="1" applyFont="1" applyFill="0" applyNumberFormat="0" applyProtection="0" borderId="28" fillId="0" fontId="8" numFmtId="0" xfId="0">
      <alignment horizontal="center" indent="0" shrinkToFit="0" textRotation="0" vertical="center" wrapText="0"/>
    </xf>
    <xf applyAlignment="1" applyBorder="1" applyFont="1" applyFill="0" applyNumberFormat="0" applyProtection="0" borderId="29" fillId="0" fontId="8" numFmtId="0" xfId="0">
      <alignment horizontal="center" indent="0" shrinkToFit="0" textRotation="0" vertical="center" wrapText="0"/>
    </xf>
    <xf applyAlignment="1" applyBorder="1" applyFont="1" applyFill="0" applyNumberFormat="0" applyProtection="0" borderId="30" fillId="0" fontId="8" numFmtId="0" xfId="0">
      <alignment horizontal="center" indent="0" shrinkToFit="0" textRotation="0" vertical="center" wrapText="0"/>
    </xf>
    <xf applyAlignment="0" applyBorder="1" applyFont="1" applyFill="0" applyNumberFormat="0" applyProtection="0" borderId="13" fillId="0" fontId="5" numFmtId="0" xfId="0">
      <alignment horizontal="general" indent="0" shrinkToFit="0" textRotation="0" vertical="bottom" wrapText="0"/>
    </xf>
    <xf applyAlignment="0" applyBorder="1" applyFont="1" applyFill="0" applyNumberFormat="0" applyProtection="0" borderId="31" fillId="0" fontId="5" numFmtId="0" xfId="0">
      <alignment horizontal="general" indent="0" shrinkToFit="0" textRotation="0" vertical="bottom" wrapText="0"/>
    </xf>
    <xf applyAlignment="1" applyBorder="1" applyFont="1" applyFill="0" applyNumberFormat="0" applyProtection="0" borderId="32" fillId="0" fontId="5" numFmtId="0" xfId="0">
      <alignment horizontal="center" indent="0" shrinkToFit="0" textRotation="0" vertical="bottom" wrapText="0"/>
    </xf>
    <xf applyAlignment="1" applyBorder="1" applyFont="1" applyFill="0" applyNumberFormat="0" applyProtection="0" borderId="2" fillId="0" fontId="5" numFmtId="0" xfId="0">
      <alignment horizontal="center" indent="0" shrinkToFit="0" textRotation="0" vertical="bottom" wrapText="0"/>
    </xf>
    <xf applyAlignment="1" applyBorder="1" applyFont="1" applyFill="0" applyNumberFormat="0" applyProtection="0" borderId="15" fillId="0" fontId="5" numFmtId="0" xfId="0">
      <alignment horizontal="center" indent="0" shrinkToFit="0" textRotation="0" vertical="bottom" wrapText="0"/>
    </xf>
    <xf applyAlignment="1" applyBorder="1" applyFont="1" applyFill="0" applyNumberFormat="0" applyProtection="0" borderId="17" fillId="0" fontId="5" numFmtId="0" xfId="0">
      <alignment horizontal="center" indent="0" shrinkToFit="0" textRotation="0" vertical="bottom" wrapText="0"/>
    </xf>
    <xf applyAlignment="1" applyBorder="1" applyFont="1" applyFill="0" applyNumberFormat="0" applyProtection="0" borderId="15" fillId="0" fontId="5" numFmtId="0" xfId="0">
      <alignment horizontal="left" indent="0" shrinkToFit="0" textRotation="0" vertical="bottom" wrapText="0"/>
    </xf>
    <xf applyAlignment="1" applyBorder="1" applyFont="1" applyFill="0" applyNumberFormat="0" applyProtection="0" borderId="16" fillId="0" fontId="5" numFmtId="0" xfId="0">
      <alignment horizontal="left" indent="0" shrinkToFit="0" textRotation="0" vertical="bottom" wrapText="0"/>
    </xf>
    <xf applyAlignment="1" applyBorder="1" applyFont="1" applyFill="0" applyNumberFormat="0" applyProtection="0" borderId="17" fillId="0" fontId="5" numFmtId="0" xfId="0">
      <alignment horizontal="left" indent="0" shrinkToFit="0" textRotation="0" vertical="bottom" wrapText="0"/>
    </xf>
    <xf applyAlignment="1" applyBorder="1" applyFont="1" applyFill="0" applyNumberFormat="0" applyProtection="0" borderId="33" fillId="0" fontId="8" numFmtId="0" xfId="0">
      <alignment horizontal="center" indent="0" shrinkToFit="0" textRotation="0" vertical="bottom" wrapText="0"/>
    </xf>
    <xf applyAlignment="1" applyBorder="1" applyFont="1" applyFill="0" applyNumberFormat="0" applyProtection="0" borderId="34" fillId="0" fontId="8" numFmtId="0" xfId="0">
      <alignment horizontal="center" indent="0" shrinkToFit="0" textRotation="0" vertical="bottom" wrapText="0"/>
    </xf>
    <xf applyAlignment="1" applyBorder="1" applyFont="1" applyFill="0" applyNumberFormat="0" applyProtection="0" borderId="35" fillId="0" fontId="8" numFmtId="0" xfId="0">
      <alignment horizontal="center" indent="0" shrinkToFit="0" textRotation="0" vertical="bottom" wrapText="0"/>
    </xf>
    <xf applyAlignment="1" applyBorder="1" applyFont="1" applyFill="0" applyNumberFormat="0" applyProtection="0" borderId="36" fillId="0" fontId="8" numFmtId="0" xfId="0">
      <alignment horizontal="center" indent="0" shrinkToFit="0" textRotation="0" vertical="center" wrapText="0"/>
    </xf>
    <xf applyAlignment="1" applyBorder="1" applyFont="1" applyFill="0" applyNumberFormat="0" applyProtection="0" borderId="37" fillId="0" fontId="8" numFmtId="0" xfId="0">
      <alignment horizontal="center" indent="0" shrinkToFit="0" textRotation="0" vertical="center" wrapText="0"/>
    </xf>
    <xf applyAlignment="1" applyBorder="1" applyFont="1" applyFill="0" applyNumberFormat="0" applyProtection="0" borderId="38" fillId="0" fontId="8" numFmtId="0" xfId="0">
      <alignment horizontal="center" indent="0" shrinkToFit="0" textRotation="0" vertical="center" wrapText="0"/>
    </xf>
    <xf applyAlignment="1" applyBorder="1" applyFont="1" applyFill="0" applyNumberFormat="0" applyProtection="0" borderId="39" fillId="0" fontId="8" numFmtId="0" xfId="0">
      <alignment horizontal="center" indent="0" shrinkToFit="0" textRotation="0" vertical="center" wrapText="0"/>
    </xf>
    <xf applyAlignment="1" applyBorder="1" applyFont="1" applyFill="0" applyNumberFormat="0" applyProtection="0" borderId="40" fillId="0" fontId="5" numFmtId="0" xfId="0">
      <alignment horizontal="center" indent="0" shrinkToFit="0" textRotation="0" vertical="bottom" wrapText="0"/>
    </xf>
    <xf applyAlignment="0" applyBorder="1" applyFont="1" applyFill="0" applyNumberFormat="0" applyProtection="0" borderId="41" fillId="0" fontId="5" numFmtId="0" xfId="0">
      <alignment horizontal="general" indent="0" shrinkToFit="0" textRotation="0" vertical="bottom" wrapText="0"/>
    </xf>
    <xf applyAlignment="0" applyBorder="1" applyFont="1" applyFill="0" applyNumberFormat="0" applyProtection="0" borderId="42" fillId="0" fontId="5" numFmtId="0" xfId="0">
      <alignment horizontal="general" indent="0" shrinkToFit="0" textRotation="0" vertical="bottom" wrapText="0"/>
    </xf>
    <xf applyAlignment="1" applyBorder="1" applyFont="1" applyFill="0" applyNumberFormat="0" applyProtection="0" borderId="4" fillId="0" fontId="8" numFmtId="0" xfId="0">
      <alignment horizontal="left" indent="0" shrinkToFit="0" textRotation="0" vertical="bottom" wrapText="0"/>
    </xf>
    <xf applyAlignment="1" applyBorder="1" applyFont="1" applyFill="0" applyNumberFormat="0" applyProtection="0" borderId="5" fillId="0" fontId="8" numFmtId="0" xfId="0">
      <alignment horizontal="left" indent="0" shrinkToFit="0" textRotation="0" vertical="bottom" wrapText="0"/>
    </xf>
    <xf applyAlignment="0" applyBorder="1" applyFont="1" applyFill="0" applyNumberFormat="0" applyProtection="0" borderId="5" fillId="0" fontId="8" numFmtId="0" xfId="0">
      <alignment horizontal="general" indent="0" shrinkToFit="0" textRotation="0" vertical="bottom" wrapText="0"/>
    </xf>
    <xf applyAlignment="0" applyBorder="1" applyFont="1" applyFill="0" applyNumberFormat="0" applyProtection="0" borderId="5" fillId="0" fontId="5" numFmtId="0" xfId="0">
      <alignment horizontal="general" indent="0" shrinkToFit="0" textRotation="0" vertical="bottom" wrapText="0"/>
    </xf>
    <xf applyAlignment="0" applyBorder="1" applyFont="1" applyFill="0" applyNumberFormat="0" applyProtection="0" borderId="6" fillId="0" fontId="5" numFmtId="0" xfId="0">
      <alignment horizontal="general" indent="0" shrinkToFit="0" textRotation="0" vertical="bottom" wrapText="0"/>
    </xf>
    <xf applyAlignment="0" applyBorder="1" applyFont="0" applyFill="0" applyNumberFormat="0" applyProtection="0" borderId="5" fillId="0" fontId="0" numFmtId="0" xfId="0">
      <alignment horizontal="general" indent="0" shrinkToFit="0" textRotation="0" vertical="bottom" wrapText="0"/>
    </xf>
    <xf applyAlignment="1" applyBorder="1" applyFont="1" applyFill="0" applyNumberFormat="0" applyProtection="0" borderId="7" fillId="0" fontId="5" numFmtId="0" xfId="0">
      <alignment horizontal="left" indent="0" shrinkToFit="0" textRotation="0" vertical="bottom" wrapText="0"/>
    </xf>
    <xf applyAlignment="1" applyBorder="1" applyFont="1" applyFill="0" applyNumberFormat="0" applyProtection="0" borderId="8" fillId="0" fontId="5" numFmtId="0" xfId="0">
      <alignment horizontal="left" indent="0" shrinkToFit="0" textRotation="0" vertical="bottom" wrapText="0"/>
    </xf>
    <xf applyAlignment="1" applyBorder="1" applyFont="1" applyFill="0" applyNumberFormat="0" applyProtection="0" borderId="43" fillId="0" fontId="8" numFmtId="0" xfId="0">
      <alignment horizontal="center" indent="0" shrinkToFit="0" textRotation="0" vertical="bottom" wrapText="0"/>
    </xf>
    <xf applyAlignment="1" applyBorder="1" applyFont="1" applyFill="0" applyNumberFormat="0" applyProtection="0" borderId="44" fillId="0" fontId="8" numFmtId="0" xfId="0">
      <alignment horizontal="center" indent="0" shrinkToFit="0" textRotation="0" vertical="bottom" wrapText="0"/>
    </xf>
    <xf applyAlignment="1" applyBorder="1" applyFont="1" applyFill="0" applyNumberFormat="0" applyProtection="0" borderId="45" fillId="0" fontId="5" numFmtId="0" xfId="0">
      <alignment horizontal="center" indent="0" shrinkToFit="0" textRotation="0" vertical="bottom" wrapText="0"/>
    </xf>
    <xf applyAlignment="1" applyBorder="1" applyFont="1" applyFill="0" applyNumberFormat="0" applyProtection="0" borderId="46" fillId="0" fontId="5" numFmtId="0" xfId="0">
      <alignment horizontal="center" indent="0" shrinkToFit="0" textRotation="0" vertical="bottom" wrapText="0"/>
    </xf>
    <xf applyAlignment="1" applyBorder="1" applyFont="1" applyFill="0" applyNumberFormat="0" applyProtection="0" borderId="47" fillId="0" fontId="5" numFmtId="0" xfId="0">
      <alignment horizontal="center" indent="0" shrinkToFit="0" textRotation="0" vertical="center" wrapText="0"/>
    </xf>
    <xf applyAlignment="1" applyBorder="1" applyFont="1" applyFill="0" applyNumberFormat="0" applyProtection="0" borderId="48" fillId="0" fontId="5" numFmtId="0" xfId="0">
      <alignment horizontal="center" indent="0" shrinkToFit="0" textRotation="0" vertical="center" wrapText="0"/>
    </xf>
    <xf applyAlignment="1" applyBorder="1" applyFont="1" applyFill="0" applyNumberFormat="0" applyProtection="0" borderId="49" fillId="0" fontId="5" numFmtId="0" xfId="0">
      <alignment horizontal="center" indent="0" shrinkToFit="0" textRotation="0" vertical="center" wrapText="0"/>
    </xf>
    <xf applyAlignment="1" applyBorder="1" applyFont="1" applyFill="0" applyNumberFormat="0" applyProtection="0" borderId="50" fillId="0" fontId="5" numFmtId="0" xfId="0">
      <alignment horizontal="center" indent="0" shrinkToFit="0" textRotation="0" vertical="center" wrapText="0"/>
    </xf>
    <xf applyAlignment="1" applyBorder="1" applyFont="1" applyFill="0" applyNumberFormat="0" applyProtection="0" borderId="40" fillId="0" fontId="5" numFmtId="0" xfId="0">
      <alignment horizontal="center" indent="0" shrinkToFit="0" textRotation="0" vertical="center" wrapText="0"/>
    </xf>
    <xf applyAlignment="1" applyBorder="1" applyFont="1" applyFill="0" applyNumberFormat="0" applyProtection="0" borderId="46" fillId="0" fontId="5" numFmtId="0" xfId="0">
      <alignment horizontal="center" indent="0" shrinkToFit="0" textRotation="0" vertical="center" wrapText="0"/>
    </xf>
    <xf applyAlignment="1" applyBorder="0" applyFont="1" applyFill="0" applyNumberFormat="0" applyProtection="0" borderId="1" fillId="0" fontId="5" numFmtId="0" xfId="0">
      <alignment horizontal="center" indent="0" shrinkToFit="0" textRotation="0" vertical="center" wrapText="0"/>
    </xf>
    <xf applyAlignment="1" applyBorder="0" applyFont="1" applyFill="0" applyNumberFormat="0" applyProtection="0" borderId="1" fillId="0" fontId="12" numFmtId="0" xfId="0">
      <alignment horizontal="center" indent="0" shrinkToFit="0" textRotation="0" vertical="center" wrapText="0"/>
    </xf>
    <xf applyAlignment="1" applyBorder="0" applyFont="1" applyFill="0" applyNumberFormat="0" applyProtection="0" borderId="1" fillId="0" fontId="2" numFmtId="0" xfId="0">
      <alignment horizontal="center" indent="0" shrinkToFit="0" textRotation="0" vertical="bottom" wrapText="0"/>
    </xf>
    <xf applyAlignment="0" applyBorder="0" applyFont="1" applyFill="0" applyNumberFormat="0" applyProtection="0" borderId="1" fillId="0" fontId="10" numFmtId="0" xfId="0">
      <alignment horizontal="general" indent="0" shrinkToFit="0" textRotation="0" vertical="bottom" wrapText="0"/>
    </xf>
    <xf applyAlignment="1" applyBorder="0" applyFont="1" applyFill="0" applyNumberFormat="0" applyProtection="0" borderId="1" fillId="0" fontId="1" numFmtId="0" xfId="0">
      <alignment horizontal="left" indent="0" shrinkToFit="0" textRotation="0" vertical="bottom" wrapText="0"/>
    </xf>
    <xf applyAlignment="1" applyBorder="0" applyFont="1" applyFill="0" applyNumberFormat="0" applyProtection="0" borderId="1" fillId="0" fontId="10" numFmtId="0" xfId="0">
      <alignment horizontal="center" indent="0" shrinkToFit="0" textRotation="0" vertical="center" wrapText="0"/>
    </xf>
    <xf applyAlignment="1" applyBorder="1" applyFont="1" applyFill="0" applyNumberFormat="0" applyProtection="0" borderId="23" fillId="0" fontId="10" numFmtId="0" xfId="0">
      <alignment horizontal="right" indent="0" shrinkToFit="0" textRotation="0" vertical="center" wrapText="1"/>
    </xf>
    <xf applyAlignment="1" applyBorder="1" applyFont="1" applyFill="0" applyNumberFormat="0" applyProtection="0" borderId="21" fillId="0" fontId="10" numFmtId="0" xfId="0">
      <alignment horizontal="right" indent="0" shrinkToFit="0" textRotation="0" vertical="center" wrapText="1"/>
    </xf>
    <xf applyAlignment="1" applyBorder="1" applyFont="1" applyFill="0" applyNumberFormat="0" applyProtection="0" borderId="2" fillId="0" fontId="10" numFmtId="0" xfId="0">
      <alignment horizontal="center" indent="0" shrinkToFit="0" textRotation="0" vertical="center" wrapText="1"/>
    </xf>
    <xf applyAlignment="1" applyBorder="0" applyFont="1" applyFill="0" applyNumberFormat="0" applyProtection="0" borderId="1" fillId="0" fontId="10" numFmtId="0" xfId="0">
      <alignment horizontal="general" indent="0" shrinkToFit="0" textRotation="0" vertical="center" wrapText="1"/>
    </xf>
    <xf applyAlignment="1" applyBorder="1" applyFont="1" applyFill="0" applyNumberFormat="0" applyProtection="0" borderId="2" fillId="0" fontId="10" numFmtId="0" xfId="0">
      <alignment horizontal="center" indent="0" shrinkToFit="0" textRotation="0" vertical="center" wrapText="0"/>
    </xf>
    <xf applyAlignment="1" applyBorder="1" applyFont="1" applyFill="0" applyNumberFormat="0" applyProtection="0" borderId="2" fillId="0" fontId="10" numFmtId="0" xfId="0">
      <alignment horizontal="center" indent="0" shrinkToFit="0" textRotation="0" vertical="bottom" wrapText="0"/>
    </xf>
    <xf applyAlignment="1" applyBorder="1" applyFont="1" applyFill="0" applyNumberFormat="0" applyProtection="0" borderId="11" fillId="0" fontId="10" numFmtId="0" xfId="0">
      <alignment horizontal="right" indent="0" shrinkToFit="0" textRotation="0" vertical="center" wrapText="1"/>
    </xf>
    <xf applyAlignment="1" applyBorder="1" applyFont="1" applyFill="0" applyNumberFormat="0" applyProtection="0" borderId="3" fillId="0" fontId="10" numFmtId="0" xfId="0">
      <alignment horizontal="right" indent="0" shrinkToFit="0" textRotation="0" vertical="center" wrapText="1"/>
    </xf>
    <xf applyAlignment="1" applyBorder="1" applyFont="0" applyFill="0" applyNumberFormat="0" applyProtection="0" borderId="2" fillId="0" fontId="0" numFmtId="0" xfId="0">
      <alignment horizontal="center" indent="0" shrinkToFit="0" textRotation="0" vertical="bottom" wrapText="0"/>
    </xf>
    <xf applyAlignment="1" applyBorder="0" applyFont="1" applyFill="0" applyNumberFormat="0" applyProtection="0" borderId="1" fillId="0" fontId="10" numFmtId="0" xfId="0">
      <alignment horizontal="right" indent="0" shrinkToFit="0" textRotation="0" vertical="center" wrapText="1"/>
    </xf>
    <xf applyAlignment="0" applyBorder="1" applyFont="0" applyFill="0" applyNumberFormat="0" applyProtection="0" borderId="2" fillId="0" fontId="0" numFmtId="0" xfId="0">
      <alignment horizontal="general" indent="0" shrinkToFit="0" textRotation="0" vertical="bottom" wrapText="0"/>
    </xf>
    <xf applyAlignment="1" applyBorder="1" applyFont="0" applyFill="0" applyNumberFormat="0" applyProtection="0" borderId="2" fillId="0" fontId="0" numFmtId="0" xfId="0">
      <alignment horizontal="center" indent="0" shrinkToFit="0" textRotation="0" vertical="center" wrapText="0"/>
    </xf>
    <xf applyAlignment="1" applyBorder="0" applyFont="0" applyFill="0" applyNumberFormat="0" applyProtection="0" borderId="1" fillId="0" fontId="0" numFmtId="0" xfId="0">
      <alignment horizontal="center" indent="0" shrinkToFit="0" textRotation="0" vertical="center" wrapText="0"/>
    </xf>
    <xf applyAlignment="1" applyBorder="1" applyFont="1" applyFill="0" applyNumberFormat="0" applyProtection="0" borderId="2" fillId="0" fontId="8" numFmtId="0" xfId="0">
      <alignment horizontal="center" indent="0" shrinkToFit="0" textRotation="0" vertical="center" wrapText="0"/>
    </xf>
    <xf applyAlignment="1" applyBorder="1" applyFont="1" applyFill="0" applyNumberFormat="0" applyProtection="0" borderId="2" fillId="0" fontId="8" numFmtId="0" xfId="0">
      <alignment horizontal="center" indent="0" shrinkToFit="0" textRotation="0" vertical="center" wrapText="1"/>
    </xf>
    <xf applyAlignment="1" applyBorder="0" applyFont="1" applyFill="0" applyNumberFormat="0" applyProtection="0" borderId="1" fillId="0" fontId="8" numFmtId="0" xfId="0">
      <alignment horizontal="center" indent="0" shrinkToFit="0" textRotation="0" vertical="center" wrapText="1"/>
    </xf>
    <xf applyAlignment="1" applyBorder="1" applyFont="1" applyFill="0" applyNumberFormat="0" applyProtection="0" borderId="2" fillId="0" fontId="13" numFmtId="0" xfId="0">
      <alignment horizontal="center" indent="0" shrinkToFit="0" textRotation="0" vertical="center" wrapText="0"/>
    </xf>
    <xf applyAlignment="1" applyBorder="1" applyFont="1" applyFill="1" applyNumberFormat="0" applyProtection="0" borderId="51" fillId="4" fontId="14" numFmtId="0" xfId="0">
      <alignment horizontal="left" indent="0" shrinkToFit="0" textRotation="0" vertical="top" wrapText="1"/>
    </xf>
    <xf applyAlignment="1" applyBorder="1" applyFont="1" applyFill="0" applyNumberFormat="1" applyProtection="0" borderId="2" fillId="0" fontId="13" numFmtId="1" xfId="0">
      <alignment horizontal="center" indent="0" shrinkToFit="0" textRotation="0" vertical="bottom" wrapText="0"/>
    </xf>
    <xf applyAlignment="1" applyBorder="1" applyFont="1" applyFill="0" applyNumberFormat="0" applyProtection="0" borderId="2" fillId="0" fontId="13" numFmtId="0" xfId="0">
      <alignment horizontal="center" indent="0" shrinkToFit="0" textRotation="0" vertical="bottom" wrapText="0"/>
    </xf>
    <xf applyAlignment="1" applyBorder="1" applyFont="1" applyFill="0" applyNumberFormat="0" applyProtection="0" borderId="2" fillId="0" fontId="13" numFmtId="0" xfId="0">
      <alignment horizontal="center" indent="0" shrinkToFit="0" textRotation="0" vertical="top" wrapText="0"/>
    </xf>
    <xf applyAlignment="0" applyBorder="1" applyFont="1" applyFill="0" applyNumberFormat="0" applyProtection="0" borderId="2" fillId="0" fontId="13" numFmtId="0" xfId="0">
      <alignment horizontal="general" indent="0" shrinkToFit="0" textRotation="0" vertical="bottom" wrapText="0"/>
    </xf>
    <xf applyAlignment="1" applyBorder="1" applyFont="1" applyFill="1" applyNumberFormat="1" applyProtection="0" borderId="2" fillId="0" fontId="13" numFmtId="170" xfId="2">
      <alignment horizontal="right" indent="0" shrinkToFit="0" textRotation="0" vertical="bottom" wrapText="0"/>
    </xf>
    <xf applyAlignment="0" applyBorder="1" applyFont="1" applyFill="1" applyNumberFormat="1" applyProtection="0" borderId="2" fillId="0" fontId="13" numFmtId="170" xfId="2">
      <alignment horizontal="general" indent="0" shrinkToFit="0" textRotation="0" vertical="bottom" wrapText="0"/>
    </xf>
    <xf applyAlignment="0" applyBorder="1" applyFont="1" applyFill="1" applyNumberFormat="1" applyProtection="0" borderId="1" fillId="0" fontId="0" numFmtId="170" xfId="2">
      <alignment horizontal="general" indent="0" shrinkToFit="0" textRotation="0" vertical="bottom" wrapText="0"/>
    </xf>
    <xf applyAlignment="0" applyBorder="1" applyFont="1" applyFill="0" applyNumberFormat="0" applyProtection="0" borderId="2" fillId="0" fontId="14" numFmtId="0" xfId="0">
      <alignment horizontal="general" indent="0" shrinkToFit="0" textRotation="0" vertical="bottom" wrapText="0"/>
    </xf>
    <xf applyAlignment="0" applyBorder="0" applyFont="1" applyFill="0" applyNumberFormat="0" applyProtection="0" borderId="1" fillId="0" fontId="13" numFmtId="0" xfId="0">
      <alignment horizontal="general" indent="0" shrinkToFit="0" textRotation="0" vertical="bottom" wrapText="0"/>
    </xf>
    <xf applyAlignment="1" applyBorder="0" applyFont="1" applyFill="0" applyNumberFormat="0" applyProtection="0" borderId="1" fillId="0" fontId="6" numFmtId="0" xfId="0">
      <alignment horizontal="center" indent="0" shrinkToFit="0" textRotation="0" vertical="center" wrapText="0"/>
    </xf>
    <xf applyAlignment="1" applyBorder="0" applyFont="1" applyFill="0" applyNumberFormat="1" applyProtection="0" borderId="1" fillId="0" fontId="6" numFmtId="44" xfId="2">
      <alignment horizontal="right" indent="0" shrinkToFit="0" textRotation="0" vertical="bottom" wrapText="0"/>
    </xf>
    <xf applyAlignment="0" applyBorder="0" applyFont="1" applyFill="0" applyNumberFormat="1" applyProtection="0" borderId="1" fillId="0" fontId="6" numFmtId="170" xfId="2">
      <alignment horizontal="general" indent="0" shrinkToFit="0" textRotation="0" vertical="bottom" wrapText="0"/>
    </xf>
    <xf applyAlignment="0" applyBorder="0" applyFont="1" applyFill="0" applyNumberFormat="1" applyProtection="0" borderId="1" fillId="0" fontId="0" numFmtId="170" xfId="2">
      <alignment horizontal="general" indent="0" shrinkToFit="0" textRotation="0" vertical="bottom" wrapText="0"/>
    </xf>
    <xf applyAlignment="1" applyBorder="1" applyFont="1" applyFill="0" applyNumberFormat="0" applyProtection="0" borderId="2" fillId="0" fontId="10" numFmtId="0" xfId="0">
      <alignment horizontal="right" indent="0" shrinkToFit="0" textRotation="0" vertical="center" wrapText="1"/>
    </xf>
    <xf applyAlignment="1" applyBorder="1" applyFont="1" applyFill="0" applyNumberFormat="0" applyProtection="0" borderId="2" fillId="0" fontId="10" numFmtId="0" xfId="0">
      <alignment horizontal="right" indent="0" shrinkToFit="0" textRotation="0" vertical="center" wrapText="0"/>
    </xf>
    <xf applyAlignment="1" applyBorder="1" applyFont="0" applyFill="0" applyNumberFormat="1" applyProtection="0" borderId="2" fillId="0" fontId="0" numFmtId="171" xfId="0">
      <alignment horizontal="center" indent="0" shrinkToFit="0" textRotation="0" vertical="center" wrapText="0"/>
    </xf>
    <xf applyAlignment="1" applyBorder="0" applyFont="1" applyFill="0" applyNumberFormat="0" applyProtection="0" borderId="1" fillId="0" fontId="10" numFmtId="0" xfId="0">
      <alignment horizontal="right" indent="0" shrinkToFit="0" textRotation="0" vertical="center" wrapText="0"/>
    </xf>
  </cellXfs>
  <cellStyles count="3">
    <cellStyle name="Currency" xfId="2"/>
    <cellStyle name="Hyperlink" xfId="1"/>
    <cellStyle name="Normal" xfId="0"/>
  </cellStyles>
</styleSheet>
</file>

<file path=xl/_rels/workbook.xml.rels><?xml version="1.0" encoding="UTF-8"?>
<Relationships xmlns="http://schemas.openxmlformats.org/package/2006/relationships"><Relationship Id="rId1" Target="worksheets/sheet1.xml" Type="http://schemas.openxmlformats.org/officeDocument/2006/relationships/worksheet"></Relationship><Relationship Id="rId2" Target="worksheets/sheet2.xml" Type="http://schemas.openxmlformats.org/officeDocument/2006/relationships/worksheet"></Relationship><Relationship Id="rId3" Target="worksheets/sheet3.xml" Type="http://schemas.openxmlformats.org/officeDocument/2006/relationships/worksheet"></Relationship><Relationship Id="rId4" Target="worksheets/sheet4.xml" Type="http://schemas.openxmlformats.org/officeDocument/2006/relationships/worksheet"></Relationship><Relationship Id="rId5" Target="worksheets/sheet5.xml" Type="http://schemas.openxmlformats.org/officeDocument/2006/relationships/worksheet"></Relationship><Relationship Id="rId6" Target="worksheets/sheet6.xml" Type="http://schemas.openxmlformats.org/officeDocument/2006/relationships/worksheet"></Relationship><Relationship Id="rId7" Target="worksheets/sheet7.xml" Type="http://schemas.openxmlformats.org/officeDocument/2006/relationships/worksheet"></Relationship><Relationship Id="rId8" Target="worksheets/sheet8.xml" Type="http://schemas.openxmlformats.org/officeDocument/2006/relationships/worksheet"></Relationship><Relationship Id="rId9" Target="worksheets/sheet9.xml" Type="http://schemas.openxmlformats.org/officeDocument/2006/relationships/worksheet"></Relationship><Relationship Id="rId10" Target="worksheets/sheet10.xml" Type="http://schemas.openxmlformats.org/officeDocument/2006/relationships/worksheet"></Relationship><Relationship Id="rId11" Target="worksheets/sheet11.xml" Type="http://schemas.openxmlformats.org/officeDocument/2006/relationships/worksheet"></Relationship><Relationship Id="rId12" Target="worksheets/sheet12.xml" Type="http://schemas.openxmlformats.org/officeDocument/2006/relationships/worksheet"></Relationship><Relationship Id="rId13" Target="worksheets/sheet13.xml" Type="http://schemas.openxmlformats.org/officeDocument/2006/relationships/worksheet"></Relationship><Relationship Id="rId14" Target="worksheets/sheet14.xml" Type="http://schemas.openxmlformats.org/officeDocument/2006/relationships/worksheet"></Relationship><Relationship Id="rId15" Target="worksheets/sheet15.xml" Type="http://schemas.openxmlformats.org/officeDocument/2006/relationships/worksheet"></Relationship><Relationship Id="rId16" Target="worksheets/sheet16.xml" Type="http://schemas.openxmlformats.org/officeDocument/2006/relationships/worksheet"></Relationship><Relationship Id="rId17" Target="worksheets/sheet17.xml" Type="http://schemas.openxmlformats.org/officeDocument/2006/relationships/worksheet"></Relationship><Relationship Id="rId18" Target="sharedStrings.xml" Type="http://schemas.openxmlformats.org/officeDocument/2006/relationships/sharedStrings"></Relationship><Relationship Id="rId19" Target="theme/theme1.xml" Type="http://schemas.openxmlformats.org/officeDocument/2006/relationships/theme"></Relationship><Relationship Id="rId20" Target="styles.xml" Type="http://schemas.openxmlformats.org/officeDocument/2006/relationships/styles"></Relationship></Relationships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>
  <sheetPr filterMode="false">
    <pageSetUpPr fitToPage="false"/>
  </sheetPr>
  <dimension ref="A1:CB42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75"/>
  <cols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38" min="1" style="1" width="3.5703125" customWidth="true"/>
    <col collapsed="false" hidden="false" max="1" min="1" style="0" width="9.5"/>
    <col collapsed="false" hidden="false" max="40" min="40" style="1" width="11.7109375" customWidth="true"/>
    <col collapsed="false" hidden="false" max="41" min="41" style="1" width="10.28515625" customWidth="true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1" min="1" style="0" width="9.5"/>
    <col collapsed="false" hidden="false" max="80" min="80" style="1" width="10.85546875" customWidth="true"/>
  </cols>
  <sheetData>
    <row r="1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3" t="s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t="s"/>
      <c r="AN1" s="4">
        <v>45199</v>
      </c>
      <c r="AO1" s="5">
        <f>$AN$1-DAY($AN$1)+1</f>
        <v>45170</v>
      </c>
      <c r="AP1" s="5">
        <f>EOMONTH(AN1,0)</f>
        <v>45199</v>
      </c>
      <c r="AQ1" s="5"/>
      <c r="AR1" s="5">
        <f>DATE(YEAR($AO$1),1,1)</f>
        <v>44927</v>
      </c>
      <c r="AS1" s="5">
        <f>DATE(YEAR($AO$1),2,1)</f>
        <v>44958</v>
      </c>
      <c r="AT1" s="5">
        <f>DATE(YEAR($AO$1),3,1)</f>
        <v>44986</v>
      </c>
      <c r="AU1" s="5">
        <f>DATE(YEAR($AO$1),4,1)</f>
        <v>45017</v>
      </c>
      <c r="AV1" s="5">
        <f>DATE(YEAR($AO$1),5,1)</f>
        <v>45047</v>
      </c>
      <c r="AW1" s="5">
        <f>DATE(YEAR($AO$1),6,1)</f>
        <v>45078</v>
      </c>
      <c r="AX1" s="5">
        <f>DATE(YEAR($AO$1),7,1)</f>
        <v>45108</v>
      </c>
      <c r="AY1" s="5">
        <f>DATE(YEAR($AO$1),8,1)</f>
        <v>45139</v>
      </c>
      <c r="AZ1" s="5">
        <f>DATE(YEAR($AO$1),9,1)</f>
        <v>45170</v>
      </c>
      <c r="BA1" s="5">
        <f>DATE(YEAR($AO$1),10,1)</f>
        <v>45200</v>
      </c>
      <c r="BB1" s="5">
        <f>DATE(YEAR($AO$1),11,1)</f>
        <v>45231</v>
      </c>
      <c r="BC1" s="5">
        <f>DATE(YEAR($AO$1),12,1)</f>
        <v>45261</v>
      </c>
      <c r="BD1" s="6"/>
      <c r="BE1" s="6"/>
      <c r="BF1" s="6"/>
      <c r="BG1" s="6"/>
      <c r="BH1" s="6"/>
      <c r="BI1" s="6"/>
      <c r="BJ1" s="6"/>
      <c r="BK1" s="6"/>
      <c r="BL1" s="6"/>
      <c r="BM1" s="6"/>
      <c r="BN1" t="s"/>
      <c r="BO1" t="s"/>
      <c r="BP1" t="s"/>
      <c r="BQ1" t="s"/>
      <c r="BR1" t="s"/>
      <c r="BS1" t="s"/>
      <c r="BT1" t="s"/>
      <c r="BU1" t="s"/>
      <c r="BV1" t="s"/>
      <c r="BW1" t="s"/>
      <c r="BX1" t="s"/>
      <c r="BY1" t="s"/>
      <c r="BZ1" t="s"/>
      <c r="CA1" t="s"/>
      <c r="CB1" s="1" t="s"/>
    </row>
    <row r="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 t="s">
        <v>2</v>
      </c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t="s"/>
      <c r="AN2" s="7"/>
      <c r="AO2" s="8" t="s">
        <v>3</v>
      </c>
      <c r="AP2" s="8" t="s">
        <v>4</v>
      </c>
      <c r="AQ2" s="8"/>
      <c r="AR2" s="9"/>
      <c r="AS2" s="9"/>
      <c r="AT2" s="9"/>
      <c r="AU2" s="9"/>
      <c r="AV2" s="9"/>
      <c r="AW2" s="9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t="s"/>
      <c r="BO2" t="s"/>
      <c r="BP2" t="s"/>
      <c r="BQ2" t="s"/>
      <c r="BR2" t="s"/>
      <c r="BS2" t="s"/>
      <c r="BT2" t="s"/>
      <c r="BU2" t="s"/>
      <c r="BV2" t="s"/>
      <c r="BW2" t="s"/>
      <c r="BX2" t="s"/>
      <c r="BY2" t="s"/>
      <c r="BZ2" t="s"/>
      <c r="CA2" t="s"/>
      <c r="CB2" s="1" t="s"/>
    </row>
    <row r="3">
      <c r="A3" s="10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t="s"/>
      <c r="AN3" s="1" t="s"/>
      <c r="AO3" s="11" t="str">
        <f>TEXT(AO1,"DDmmYYYY")</f>
        <v>01092023</v>
      </c>
      <c r="AP3" s="11" t="str">
        <f>TEXT(AP1,"DDmmYYYY")</f>
        <v>30092023</v>
      </c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t="s"/>
      <c r="BO3" t="s"/>
      <c r="BP3" t="s"/>
      <c r="BQ3" t="s"/>
      <c r="BR3" t="s"/>
      <c r="BS3" t="s"/>
      <c r="BT3" t="s"/>
      <c r="BU3" t="s"/>
      <c r="BV3" t="s"/>
      <c r="BW3" t="s"/>
      <c r="BX3" t="s"/>
      <c r="BY3" t="s"/>
      <c r="BZ3" t="s"/>
      <c r="CA3" t="s"/>
      <c r="CB3" s="1" t="s"/>
    </row>
    <row r="4">
      <c r="A4" s="1" t="s"/>
      <c r="B4" s="12" t="s">
        <v>6</v>
      </c>
      <c r="C4" s="1" t="s"/>
      <c r="D4" s="1" t="s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" t="s"/>
      <c r="R4" s="1" t="s"/>
      <c r="S4" s="1" t="s"/>
      <c r="T4" s="1" t="s"/>
      <c r="U4" s="1" t="s"/>
      <c r="V4" s="1" t="s"/>
      <c r="W4" s="1" t="s"/>
      <c r="X4" s="1" t="s"/>
      <c r="Y4" s="1" t="s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t="s"/>
      <c r="BO4" t="s"/>
      <c r="BP4" t="s"/>
      <c r="BQ4" t="s"/>
      <c r="BR4" t="s"/>
      <c r="BS4" t="s"/>
      <c r="BT4" t="s"/>
      <c r="BU4" t="s"/>
      <c r="BV4" t="s"/>
      <c r="BW4" t="s"/>
      <c r="BX4" t="s"/>
      <c r="BY4" t="s"/>
      <c r="BZ4" t="s"/>
      <c r="CA4" s="14">
        <v>2013</v>
      </c>
      <c r="CB4" s="15" t="s">
        <v>7</v>
      </c>
    </row>
    <row r="5" ht="13.15" customHeight="true">
      <c r="A5" s="16">
        <v>1</v>
      </c>
      <c r="B5" s="17" t="s">
        <v>8</v>
      </c>
      <c r="C5" s="18"/>
      <c r="D5" s="18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9"/>
      <c r="S5" s="20"/>
      <c r="T5" s="16">
        <v>9</v>
      </c>
      <c r="U5" s="17" t="s">
        <v>9</v>
      </c>
      <c r="V5" s="18"/>
      <c r="W5" s="18"/>
      <c r="X5" s="18"/>
      <c r="Y5" s="19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21"/>
      <c r="AN5" s="21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t="s"/>
      <c r="BO5" t="s"/>
      <c r="BP5" t="s"/>
      <c r="BQ5" t="s"/>
      <c r="BR5" t="s"/>
      <c r="BS5" t="s"/>
      <c r="BT5" t="s"/>
      <c r="BU5" t="s"/>
      <c r="BV5" t="s"/>
      <c r="BW5" t="s"/>
      <c r="BX5" t="s"/>
      <c r="BY5" t="s"/>
      <c r="BZ5" t="s"/>
      <c r="CA5" s="14">
        <v>2014</v>
      </c>
      <c r="CB5" s="15" t="s">
        <v>10</v>
      </c>
    </row>
    <row r="6" ht="13.15" customHeight="true">
      <c r="A6" s="16"/>
      <c r="B6" s="20" t="s">
        <v>11</v>
      </c>
      <c r="C6" s="1" t="s"/>
      <c r="D6" s="1" t="s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2"/>
      <c r="S6" s="20"/>
      <c r="T6" s="16"/>
      <c r="U6" s="17" t="s">
        <v>12</v>
      </c>
      <c r="V6" s="18"/>
      <c r="W6" s="18"/>
      <c r="X6" s="18"/>
      <c r="Y6" s="19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21"/>
      <c r="AN6" s="21"/>
      <c r="AO6" s="1" t="s"/>
      <c r="AP6" t="s"/>
      <c r="AQ6" t="s"/>
      <c r="AR6" t="s"/>
      <c r="AS6" t="s"/>
      <c r="AT6" t="s"/>
      <c r="AU6" t="s"/>
      <c r="AV6" t="s"/>
      <c r="AW6" t="s"/>
      <c r="AX6" t="s"/>
      <c r="AY6" t="s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t="s"/>
      <c r="BO6" t="s"/>
      <c r="BP6" t="s"/>
      <c r="BQ6" t="s"/>
      <c r="BR6" t="s"/>
      <c r="BS6" t="s"/>
      <c r="BT6" t="s"/>
      <c r="BU6" t="s"/>
      <c r="BV6" t="s"/>
      <c r="BW6" t="s"/>
      <c r="BX6" t="s"/>
      <c r="BY6" t="s"/>
      <c r="BZ6" t="s"/>
      <c r="CA6" s="14">
        <v>2015</v>
      </c>
      <c r="CB6" s="15" t="s">
        <v>13</v>
      </c>
    </row>
    <row r="7" ht="13.15" customHeight="true">
      <c r="A7" s="20">
        <v>2</v>
      </c>
      <c r="B7" s="20" t="s">
        <v>14</v>
      </c>
      <c r="C7" s="1" t="s"/>
      <c r="D7" s="1" t="s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2"/>
      <c r="S7" s="16"/>
      <c r="T7" s="20">
        <v>10</v>
      </c>
      <c r="U7" s="20" t="s">
        <v>15</v>
      </c>
      <c r="V7" s="1" t="s"/>
      <c r="W7" s="1" t="s"/>
      <c r="X7" s="1" t="s"/>
      <c r="Y7" s="22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1"/>
      <c r="AN7" s="23" t="s">
        <v>16</v>
      </c>
      <c r="AO7" s="8">
        <v>1</v>
      </c>
      <c r="AP7" s="8">
        <v>2</v>
      </c>
      <c r="AQ7" s="8">
        <v>3</v>
      </c>
      <c r="AR7" s="8">
        <v>4</v>
      </c>
      <c r="AS7" s="8">
        <v>5</v>
      </c>
      <c r="AT7" s="8">
        <v>6</v>
      </c>
      <c r="AU7" s="8">
        <v>7</v>
      </c>
      <c r="AV7" s="8">
        <v>8</v>
      </c>
      <c r="AW7" s="8">
        <v>9</v>
      </c>
      <c r="AX7" s="8">
        <v>10</v>
      </c>
      <c r="AY7" s="8">
        <v>11</v>
      </c>
      <c r="AZ7" s="6"/>
      <c r="BA7" t="s"/>
      <c r="BB7" t="s"/>
      <c r="BC7" t="s"/>
      <c r="BD7" t="s"/>
      <c r="BE7" t="s"/>
      <c r="BF7" t="s"/>
      <c r="BG7" t="s"/>
      <c r="BH7" t="s"/>
      <c r="BI7" t="s"/>
      <c r="BJ7" t="s"/>
      <c r="BK7" t="s"/>
      <c r="BL7" t="s"/>
      <c r="BM7" t="s"/>
      <c r="BN7" t="s"/>
      <c r="BO7" t="s"/>
      <c r="BP7" t="s"/>
      <c r="BQ7" t="s"/>
      <c r="BR7" t="s"/>
      <c r="BS7" t="s"/>
      <c r="BT7" t="s"/>
      <c r="BU7" t="s"/>
      <c r="BV7" t="s"/>
      <c r="BW7" t="s"/>
      <c r="BX7" t="s"/>
      <c r="BY7" t="s"/>
      <c r="BZ7" t="s"/>
      <c r="CA7" s="14">
        <v>2016</v>
      </c>
      <c r="CB7" s="15" t="s">
        <v>17</v>
      </c>
    </row>
    <row r="8" ht="13.15" customHeight="true">
      <c r="A8" s="16">
        <v>3</v>
      </c>
      <c r="B8" s="20" t="s">
        <v>18</v>
      </c>
      <c r="C8" s="1" t="s"/>
      <c r="D8" s="1" t="s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2"/>
      <c r="S8" s="16"/>
      <c r="T8" s="16">
        <v>11</v>
      </c>
      <c r="U8" s="20" t="s">
        <v>19</v>
      </c>
      <c r="V8" s="1" t="s"/>
      <c r="W8" s="1" t="s"/>
      <c r="X8" s="1" t="s"/>
      <c r="Y8" s="22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1"/>
      <c r="AN8" s="24">
        <f>SUM(AN9:AN20)</f>
        <v>0</v>
      </c>
      <c r="AO8" s="8" t="str">
        <f>MID($AN$8,1,1)</f>
        <v>0</v>
      </c>
      <c r="AP8" s="8" t="str">
        <f>MID($AN$8,2,1)</f>
      </c>
      <c r="AQ8" s="8" t="str">
        <f>MID($AN$8,3,1)</f>
      </c>
      <c r="AR8" s="8" t="str">
        <f>MID($AN$8,4,1)</f>
      </c>
      <c r="AS8" s="8" t="str">
        <f>MID($AN$8,5,1)</f>
      </c>
      <c r="AT8" s="8" t="str">
        <f>MID($AN$8,6,1)</f>
      </c>
      <c r="AU8" s="8" t="str">
        <f>MID($AN$8,7,1)</f>
      </c>
      <c r="AV8" s="8" t="str">
        <f>MID($AN$8,8,1)</f>
      </c>
      <c r="AW8" s="8" t="str">
        <f>MID($AN$8,9,1)</f>
      </c>
      <c r="AX8" s="8" t="str">
        <f>MID($AN$8,10,1)</f>
      </c>
      <c r="AY8" s="8" t="str">
        <f>MID($AN$8,11,1)</f>
      </c>
      <c r="AZ8" s="8"/>
      <c r="BA8" s="25"/>
      <c r="BB8" t="s"/>
      <c r="BC8" t="s"/>
      <c r="BD8" t="s"/>
      <c r="BE8" t="s"/>
      <c r="BF8" t="s"/>
      <c r="BG8" t="s"/>
      <c r="BH8" t="s"/>
      <c r="BI8" t="s"/>
      <c r="BJ8" t="s"/>
      <c r="BK8" t="s"/>
      <c r="BL8" t="s"/>
      <c r="BM8" t="s"/>
      <c r="BN8" t="s"/>
      <c r="BO8" t="s"/>
      <c r="BP8" t="s"/>
      <c r="BQ8" t="s"/>
      <c r="BR8" t="s"/>
      <c r="BS8" t="s"/>
      <c r="BT8" t="s"/>
      <c r="BU8" t="s"/>
      <c r="BV8" t="s"/>
      <c r="BW8" t="s"/>
      <c r="BX8" t="s"/>
      <c r="BY8" t="s"/>
      <c r="BZ8" t="s"/>
      <c r="CA8" s="14">
        <v>2017</v>
      </c>
      <c r="CB8" s="15" t="s">
        <v>20</v>
      </c>
    </row>
    <row r="9" ht="13.15" customHeight="true">
      <c r="A9" s="20"/>
      <c r="B9" s="20" t="s">
        <v>21</v>
      </c>
      <c r="C9" s="1" t="s"/>
      <c r="D9" s="1" t="s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2"/>
      <c r="S9" s="20"/>
      <c r="T9" s="20">
        <v>12</v>
      </c>
      <c r="U9" s="20" t="s">
        <v>22</v>
      </c>
      <c r="V9" s="1" t="s"/>
      <c r="W9" s="1" t="s"/>
      <c r="X9" s="1" t="s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t="s"/>
      <c r="AN9" s="26"/>
      <c r="AO9" s="27">
        <v>44957</v>
      </c>
      <c r="AP9" t="s"/>
      <c r="AQ9" t="s"/>
      <c r="AR9" t="s"/>
      <c r="AS9" t="s"/>
      <c r="AT9" t="s"/>
      <c r="AU9" t="s"/>
      <c r="AV9" t="s"/>
      <c r="AW9" t="s"/>
      <c r="AX9" t="s"/>
      <c r="AY9" t="s"/>
      <c r="AZ9" t="s"/>
      <c r="BA9" t="s"/>
      <c r="BB9" t="s"/>
      <c r="BC9" t="s"/>
      <c r="BD9" t="s"/>
      <c r="BE9" t="s"/>
      <c r="BF9" t="s"/>
      <c r="BG9" t="s"/>
      <c r="BH9" t="s"/>
      <c r="BI9" t="s"/>
      <c r="BJ9" t="s"/>
      <c r="BK9" t="s"/>
      <c r="BL9" t="s"/>
      <c r="BM9" t="s"/>
      <c r="BN9" t="s"/>
      <c r="BO9" t="s"/>
      <c r="BP9" t="s"/>
      <c r="BQ9" t="s"/>
      <c r="BR9" t="s"/>
      <c r="BS9" t="s"/>
      <c r="BT9" t="s"/>
      <c r="BU9" t="s"/>
      <c r="BV9" t="s"/>
      <c r="BW9" t="s"/>
      <c r="BX9" t="s"/>
      <c r="BY9" t="s"/>
      <c r="BZ9" t="s"/>
      <c r="CA9" s="14">
        <v>2018</v>
      </c>
      <c r="CB9" s="15" t="s">
        <v>23</v>
      </c>
    </row>
    <row r="10" ht="13.15" customHeight="true">
      <c r="A10" s="20">
        <v>4</v>
      </c>
      <c r="B10" s="20" t="s">
        <v>24</v>
      </c>
      <c r="C10" s="1" t="s"/>
      <c r="D10" s="1" t="s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2"/>
      <c r="S10" s="16"/>
      <c r="T10" s="16"/>
      <c r="U10" s="20" t="s">
        <v>25</v>
      </c>
      <c r="V10" s="1" t="s"/>
      <c r="W10" s="1" t="s"/>
      <c r="X10" s="1" t="s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t="s"/>
      <c r="AN10" s="26"/>
      <c r="AO10" s="27">
        <f>EOMONTH(AO9,1)</f>
        <v>44985</v>
      </c>
      <c r="AP10" t="s"/>
      <c r="AQ10" t="s"/>
      <c r="AR10" t="s"/>
      <c r="AS10" t="s"/>
      <c r="AT10" t="s"/>
      <c r="AU10" t="s"/>
      <c r="AV10" t="s"/>
      <c r="AW10" t="s"/>
      <c r="AX10" t="s"/>
      <c r="AY10" t="s"/>
      <c r="AZ10" t="s"/>
      <c r="BA10" t="s"/>
      <c r="BB10" t="s"/>
      <c r="BC10" t="s"/>
      <c r="BD10" t="s"/>
      <c r="BE10" t="s"/>
      <c r="BF10" t="s"/>
      <c r="BG10" t="s"/>
      <c r="BH10" t="s"/>
      <c r="BI10" t="s"/>
      <c r="BJ10" t="s"/>
      <c r="BK10" t="s"/>
      <c r="BL10" t="s"/>
      <c r="BM10" t="s"/>
      <c r="BN10" t="s"/>
      <c r="BO10" t="s"/>
      <c r="BP10" t="s"/>
      <c r="BQ10" t="s"/>
      <c r="BR10" t="s"/>
      <c r="BS10" t="s"/>
      <c r="BT10" t="s"/>
      <c r="BU10" t="s"/>
      <c r="BV10" t="s"/>
      <c r="BW10" t="s"/>
      <c r="BX10" t="s"/>
      <c r="BY10" t="s"/>
      <c r="BZ10" t="s"/>
      <c r="CA10" s="14">
        <v>2019</v>
      </c>
      <c r="CB10" s="15" t="s">
        <v>26</v>
      </c>
    </row>
    <row r="11" ht="13.15" customHeight="true">
      <c r="A11" s="20"/>
      <c r="B11" s="20" t="s">
        <v>27</v>
      </c>
      <c r="C11" s="1" t="s"/>
      <c r="D11" s="1" t="s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2"/>
      <c r="S11" s="20"/>
      <c r="T11" s="20">
        <v>13</v>
      </c>
      <c r="U11" s="17" t="s">
        <v>28</v>
      </c>
      <c r="V11" s="18"/>
      <c r="W11" s="18"/>
      <c r="X11" s="18"/>
      <c r="Y11" s="19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20"/>
      <c r="AN11" s="28"/>
      <c r="AO11" s="27">
        <f>EOMONTH(AO10,1)</f>
        <v>45016</v>
      </c>
      <c r="AP11" t="s"/>
      <c r="AQ11" t="s"/>
      <c r="AR11" t="s"/>
      <c r="AS11" t="s"/>
      <c r="AT11" t="s"/>
      <c r="AU11" t="s"/>
      <c r="AV11" t="s"/>
      <c r="AW11" t="s"/>
      <c r="AX11" t="s"/>
      <c r="AY11" t="s"/>
      <c r="AZ11" t="s"/>
      <c r="BA11" t="s"/>
      <c r="BB11" t="s"/>
      <c r="BC11" t="s"/>
      <c r="BD11" t="s"/>
      <c r="BE11" t="s"/>
      <c r="BF11" t="s"/>
      <c r="BG11" t="s"/>
      <c r="BH11" t="s"/>
      <c r="BI11" t="s"/>
      <c r="BJ11" t="s"/>
      <c r="BK11" t="s"/>
      <c r="BL11" t="s"/>
      <c r="BM11" t="s"/>
      <c r="BN11" t="s"/>
      <c r="BO11" t="s"/>
      <c r="BP11" t="s"/>
      <c r="BQ11" t="s"/>
      <c r="BR11" t="s"/>
      <c r="BS11" t="s"/>
      <c r="BT11" t="s"/>
      <c r="BU11" t="s"/>
      <c r="BV11" t="s"/>
      <c r="BW11" t="s"/>
      <c r="BX11" t="s"/>
      <c r="BY11" t="s"/>
      <c r="BZ11" t="s"/>
      <c r="CA11" s="14">
        <v>2020</v>
      </c>
      <c r="CB11" s="15" t="s">
        <v>29</v>
      </c>
    </row>
    <row r="12" ht="13.15" customHeight="true">
      <c r="A12" s="20"/>
      <c r="B12" s="29" t="s">
        <v>30</v>
      </c>
      <c r="C12" s="1" t="s"/>
      <c r="D12" s="1" t="s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2"/>
      <c r="S12" s="16"/>
      <c r="T12" s="16"/>
      <c r="U12" s="17" t="s">
        <v>31</v>
      </c>
      <c r="V12" s="18"/>
      <c r="W12" s="18"/>
      <c r="X12" s="18"/>
      <c r="Y12" s="19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20"/>
      <c r="AN12" s="28"/>
      <c r="AO12" s="27">
        <f>EOMONTH(AO11,1)</f>
        <v>45046</v>
      </c>
      <c r="AP12" t="s"/>
      <c r="AQ12" t="s"/>
      <c r="AR12" t="s"/>
      <c r="AS12" t="s"/>
      <c r="AT12" t="s"/>
      <c r="AU12" t="s"/>
      <c r="AV12" t="s"/>
      <c r="AW12" t="s"/>
      <c r="AX12" t="s"/>
      <c r="AY12" t="s"/>
      <c r="AZ12" t="s"/>
      <c r="BA12" t="s"/>
      <c r="BB12" t="s"/>
      <c r="BC12" t="s"/>
      <c r="BD12" t="s"/>
      <c r="BE12" t="s"/>
      <c r="BF12" t="s"/>
      <c r="BG12" t="s"/>
      <c r="BH12" t="s"/>
      <c r="BI12" t="s"/>
      <c r="BJ12" t="s"/>
      <c r="BK12" t="s"/>
      <c r="BL12" t="s"/>
      <c r="BM12" t="s"/>
      <c r="BN12" t="s"/>
      <c r="BO12" t="s"/>
      <c r="BP12" t="s"/>
      <c r="BQ12" t="s"/>
      <c r="BR12" t="s"/>
      <c r="BS12" t="s"/>
      <c r="BT12" t="s"/>
      <c r="BU12" t="s"/>
      <c r="BV12" t="s"/>
      <c r="BW12" t="s"/>
      <c r="BX12" t="s"/>
      <c r="BY12" t="s"/>
      <c r="BZ12" t="s"/>
      <c r="CA12" s="14">
        <v>2021</v>
      </c>
      <c r="CB12" s="15" t="s">
        <v>32</v>
      </c>
    </row>
    <row r="13" ht="13.15" customHeight="true">
      <c r="A13" s="16">
        <v>5</v>
      </c>
      <c r="B13" s="20" t="s">
        <v>33</v>
      </c>
      <c r="C13" s="1" t="s"/>
      <c r="D13" s="1" t="s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2"/>
      <c r="S13" s="22"/>
      <c r="T13" s="20">
        <v>14</v>
      </c>
      <c r="U13" s="20" t="s">
        <v>34</v>
      </c>
      <c r="V13" s="1" t="s"/>
      <c r="W13" s="1" t="s"/>
      <c r="X13" s="1" t="s"/>
      <c r="Y13" s="22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8"/>
      <c r="AO13" s="27">
        <f>EOMONTH(AO12,1)</f>
        <v>45077</v>
      </c>
      <c r="AP13" t="s"/>
      <c r="AQ13" t="s"/>
      <c r="AR13" t="s"/>
      <c r="AS13" t="s"/>
      <c r="AT13" t="s"/>
      <c r="AU13" t="s"/>
      <c r="AV13" t="s"/>
      <c r="AW13" t="s"/>
      <c r="AX13" t="s"/>
      <c r="AY13" t="s"/>
      <c r="AZ13" t="s"/>
      <c r="BA13" t="s"/>
      <c r="BB13" t="s"/>
      <c r="BC13" t="s"/>
      <c r="BD13" t="s"/>
      <c r="BE13" t="s"/>
      <c r="BF13" t="s"/>
      <c r="BG13" t="s"/>
      <c r="BH13" t="s"/>
      <c r="BI13" t="s"/>
      <c r="BJ13" t="s"/>
      <c r="BK13" t="s"/>
      <c r="BL13" t="s"/>
      <c r="BM13" t="s"/>
      <c r="BN13" t="s"/>
      <c r="BO13" t="s"/>
      <c r="BP13" t="s"/>
      <c r="BQ13" t="s"/>
      <c r="BR13" t="s"/>
      <c r="BS13" t="s"/>
      <c r="BT13" t="s"/>
      <c r="BU13" t="s"/>
      <c r="BV13" t="s"/>
      <c r="BW13" t="s"/>
      <c r="BX13" t="s"/>
      <c r="BY13" t="s"/>
      <c r="BZ13" t="s"/>
      <c r="CA13" s="14">
        <v>2022</v>
      </c>
      <c r="CB13" s="15" t="s">
        <v>35</v>
      </c>
    </row>
    <row r="14" ht="13.15" customHeight="true">
      <c r="A14" s="20">
        <v>6</v>
      </c>
      <c r="B14" s="17" t="s">
        <v>36</v>
      </c>
      <c r="C14" s="18"/>
      <c r="D14" s="18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19"/>
      <c r="S14" s="17"/>
      <c r="T14" s="16"/>
      <c r="U14" s="20" t="s">
        <v>37</v>
      </c>
      <c r="V14" s="1" t="s"/>
      <c r="W14" s="1" t="s"/>
      <c r="X14" s="1" t="s"/>
      <c r="Y14" s="22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8"/>
      <c r="AO14" s="27">
        <f>EOMONTH(AO13,1)</f>
        <v>45107</v>
      </c>
      <c r="AP14" t="s"/>
      <c r="AQ14" t="s"/>
      <c r="AR14" t="s"/>
      <c r="AS14" t="s"/>
      <c r="AT14" t="s"/>
      <c r="AU14" t="s"/>
      <c r="AV14" t="s"/>
      <c r="AW14" t="s"/>
      <c r="AX14" t="s"/>
      <c r="AY14" t="s"/>
      <c r="AZ14" t="s"/>
      <c r="BA14" t="s"/>
      <c r="BB14" t="s"/>
      <c r="BC14" t="s"/>
      <c r="BD14" t="s"/>
      <c r="BE14" t="s"/>
      <c r="BF14" t="s"/>
      <c r="BG14" t="s"/>
      <c r="BH14" t="s"/>
      <c r="BI14" t="s"/>
      <c r="BJ14" t="s"/>
      <c r="BK14" t="s"/>
      <c r="BL14" t="s"/>
      <c r="BM14" t="s"/>
      <c r="BN14" t="s"/>
      <c r="BO14" t="s"/>
      <c r="BP14" t="s"/>
      <c r="BQ14" t="s"/>
      <c r="BR14" t="s"/>
      <c r="BS14" t="s"/>
      <c r="BT14" t="s"/>
      <c r="BU14" t="s"/>
      <c r="BV14" t="s"/>
      <c r="BW14" t="s"/>
      <c r="BX14" t="s"/>
      <c r="BY14" t="s"/>
      <c r="BZ14" t="s"/>
      <c r="CA14" s="14">
        <v>2023</v>
      </c>
      <c r="CB14" s="15" t="s">
        <v>38</v>
      </c>
    </row>
    <row r="15" ht="13.15" customHeight="true">
      <c r="A15" s="31"/>
      <c r="B15" s="17" t="s">
        <v>39</v>
      </c>
      <c r="C15" s="18"/>
      <c r="D15" s="18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9"/>
      <c r="S15" s="32"/>
      <c r="T15" s="22"/>
      <c r="U15" s="29" t="s">
        <v>40</v>
      </c>
      <c r="V15" s="1" t="s"/>
      <c r="W15" s="1" t="s"/>
      <c r="X15" s="1" t="s"/>
      <c r="Y15" s="22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8"/>
      <c r="AO15" s="27">
        <f>EOMONTH(AO14,1)</f>
        <v>45138</v>
      </c>
      <c r="AP15" t="s"/>
      <c r="AQ15" t="s"/>
      <c r="AR15" t="s"/>
      <c r="AS15" t="s"/>
      <c r="AT15" t="s"/>
      <c r="AU15" t="s"/>
      <c r="AV15" t="s"/>
      <c r="AW15" t="s"/>
      <c r="AX15" t="s"/>
      <c r="AY15" t="s"/>
      <c r="AZ15" t="s"/>
      <c r="BA15" t="s"/>
      <c r="BB15" t="s"/>
      <c r="BC15" t="s"/>
      <c r="BD15" t="s"/>
      <c r="BE15" t="s"/>
      <c r="BF15" t="s"/>
      <c r="BG15" t="s"/>
      <c r="BH15" t="s"/>
      <c r="BI15" t="s"/>
      <c r="BJ15" t="s"/>
      <c r="BK15" t="s"/>
      <c r="BL15" t="s"/>
      <c r="BM15" t="s"/>
      <c r="BN15" t="s"/>
      <c r="BO15" t="s"/>
      <c r="BP15" t="s"/>
      <c r="BQ15" t="s"/>
      <c r="BR15" t="s"/>
      <c r="BS15" t="s"/>
      <c r="BT15" t="s"/>
      <c r="BU15" t="s"/>
      <c r="BV15" t="s"/>
      <c r="BW15" t="s"/>
      <c r="BX15" t="s"/>
      <c r="BY15" t="s"/>
      <c r="BZ15" t="s"/>
      <c r="CA15" s="14">
        <v>2024</v>
      </c>
      <c r="CB15" s="15" t="s">
        <v>41</v>
      </c>
    </row>
    <row r="16" ht="13.15" customHeight="true">
      <c r="A16" s="31"/>
      <c r="B16" s="17" t="s">
        <v>42</v>
      </c>
      <c r="C16" s="18"/>
      <c r="D16" s="18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9"/>
      <c r="S16" s="19"/>
      <c r="T16" s="16">
        <v>15</v>
      </c>
      <c r="U16" s="20" t="s">
        <v>43</v>
      </c>
      <c r="V16" s="1" t="s"/>
      <c r="W16" s="1" t="s"/>
      <c r="X16" s="1" t="s"/>
      <c r="Y16" s="22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13"/>
      <c r="AN16" s="33"/>
      <c r="AO16" s="27">
        <f>EOMONTH(AO15,1)</f>
        <v>45169</v>
      </c>
      <c r="AP16" t="s"/>
      <c r="AQ16" t="s"/>
      <c r="AR16" t="s"/>
      <c r="AS16" t="s"/>
      <c r="AT16" t="s"/>
      <c r="AU16" t="s"/>
      <c r="AV16" t="s"/>
      <c r="AW16" t="s"/>
      <c r="AX16" t="s"/>
      <c r="AY16" t="s"/>
      <c r="AZ16" t="s"/>
      <c r="BA16" t="s"/>
      <c r="BB16" t="s"/>
      <c r="BC16" t="s"/>
      <c r="BD16" t="s"/>
      <c r="BE16" t="s"/>
      <c r="BF16" t="s"/>
      <c r="BG16" t="s"/>
      <c r="BH16" t="s"/>
      <c r="BI16" t="s"/>
      <c r="BJ16" t="s"/>
      <c r="BK16" t="s"/>
      <c r="BL16" t="s"/>
      <c r="BM16" t="s"/>
      <c r="BN16" t="s"/>
      <c r="BO16" t="s"/>
      <c r="BP16" t="s"/>
      <c r="BQ16" t="s"/>
      <c r="BR16" t="s"/>
      <c r="BS16" t="s"/>
      <c r="BT16" t="s"/>
      <c r="BU16" t="s"/>
      <c r="BV16" t="s"/>
      <c r="BW16" t="s"/>
      <c r="BX16" t="s"/>
      <c r="BY16" t="s"/>
      <c r="BZ16" t="s"/>
      <c r="CA16" s="14">
        <v>2025</v>
      </c>
      <c r="CB16" s="1" t="s"/>
    </row>
    <row r="17" ht="13.15" customHeight="true">
      <c r="A17" s="20">
        <v>7</v>
      </c>
      <c r="B17" s="20" t="s">
        <v>44</v>
      </c>
      <c r="C17" s="1" t="s"/>
      <c r="D17" s="1" t="s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2"/>
      <c r="S17" s="16"/>
      <c r="T17" s="22"/>
      <c r="U17" s="20" t="s">
        <v>45</v>
      </c>
      <c r="V17" s="1" t="s"/>
      <c r="W17" s="1" t="s"/>
      <c r="X17" s="1" t="s"/>
      <c r="Y17" s="22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1"/>
      <c r="AN17" s="34"/>
      <c r="AO17" s="27">
        <f>EOMONTH(AO16,1)</f>
        <v>45199</v>
      </c>
      <c r="AP17" t="s"/>
      <c r="AQ17" t="s"/>
      <c r="AR17" t="s"/>
      <c r="AS17" t="s"/>
      <c r="AT17" t="s"/>
      <c r="AU17" t="s"/>
      <c r="AV17" t="s"/>
      <c r="AW17" t="s"/>
      <c r="AX17" t="s"/>
      <c r="AY17" t="s"/>
      <c r="AZ17" t="s"/>
      <c r="BA17" t="s"/>
      <c r="BB17" t="s"/>
      <c r="BC17" t="s"/>
      <c r="BD17" t="s"/>
      <c r="BE17" t="s"/>
      <c r="BF17" t="s"/>
      <c r="BG17" t="s"/>
      <c r="BH17" t="s"/>
      <c r="BI17" t="s"/>
      <c r="BJ17" t="s"/>
      <c r="BK17" t="s"/>
      <c r="BL17" t="s"/>
      <c r="BM17" t="s"/>
      <c r="BN17" t="s"/>
      <c r="BO17" t="s"/>
      <c r="BP17" t="s"/>
      <c r="BQ17" t="s"/>
      <c r="BR17" t="s"/>
      <c r="BS17" t="s"/>
      <c r="BT17" t="s"/>
      <c r="BU17" t="s"/>
      <c r="BV17" t="s"/>
      <c r="BW17" t="s"/>
      <c r="BX17" t="s"/>
      <c r="BY17" t="s"/>
      <c r="BZ17" t="s"/>
      <c r="CA17" s="14">
        <v>2026</v>
      </c>
    </row>
    <row r="18" ht="13.15" customHeight="true">
      <c r="A18" s="16"/>
      <c r="B18" s="20" t="s">
        <v>46</v>
      </c>
      <c r="C18" s="1" t="s"/>
      <c r="D18" s="1" t="s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2"/>
      <c r="S18" s="22"/>
      <c r="T18" s="20">
        <v>16</v>
      </c>
      <c r="U18" s="20" t="s">
        <v>47</v>
      </c>
      <c r="V18" s="1" t="s"/>
      <c r="W18" s="1" t="s"/>
      <c r="X18" s="1" t="s"/>
      <c r="Y18" s="22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21"/>
      <c r="AN18" s="34"/>
      <c r="AO18" s="27">
        <f>EOMONTH(AO17,1)</f>
        <v>45230</v>
      </c>
      <c r="AP18" t="s"/>
      <c r="AQ18" t="s"/>
      <c r="AR18" t="s"/>
      <c r="AS18" t="s"/>
      <c r="AT18" t="s"/>
      <c r="AU18" t="s"/>
      <c r="AV18" t="s"/>
      <c r="AW18" t="s"/>
      <c r="AX18" t="s"/>
      <c r="AY18" t="s"/>
      <c r="AZ18" t="s"/>
      <c r="BA18" t="s"/>
      <c r="BB18" t="s"/>
      <c r="BC18" t="s"/>
      <c r="BD18" t="s"/>
      <c r="BE18" t="s"/>
      <c r="BF18" t="s"/>
      <c r="BG18" t="s"/>
      <c r="BH18" t="s"/>
      <c r="BI18" t="s"/>
      <c r="BJ18" t="s"/>
      <c r="BK18" t="s"/>
      <c r="BL18" t="s"/>
      <c r="BM18" t="s"/>
      <c r="BN18" t="s"/>
      <c r="BO18" t="s"/>
      <c r="BP18" t="s"/>
      <c r="BQ18" t="s"/>
      <c r="BR18" t="s"/>
      <c r="BS18" t="s"/>
      <c r="BT18" t="s"/>
      <c r="BU18" t="s"/>
      <c r="BV18" t="s"/>
      <c r="BW18" t="s"/>
      <c r="BX18" t="s"/>
      <c r="BY18" t="s"/>
      <c r="BZ18" t="s"/>
      <c r="CA18" s="14">
        <v>2027</v>
      </c>
    </row>
    <row r="19" ht="13.15" customHeight="true">
      <c r="A19" s="36"/>
      <c r="B19" s="12" t="s">
        <v>48</v>
      </c>
      <c r="C19" s="1" t="s"/>
      <c r="D19" s="1" t="s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2"/>
      <c r="S19" s="20"/>
      <c r="T19" s="22"/>
      <c r="U19" s="20" t="s">
        <v>49</v>
      </c>
      <c r="V19" s="1" t="s"/>
      <c r="W19" s="1" t="s"/>
      <c r="X19" s="1" t="s"/>
      <c r="Y19" s="22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1"/>
      <c r="AN19" s="34"/>
      <c r="AO19" s="27">
        <f>EOMONTH(AO18,1)</f>
        <v>45260</v>
      </c>
      <c r="AP19" t="s"/>
      <c r="AQ19" t="s"/>
      <c r="AR19" t="s"/>
      <c r="AS19" t="s"/>
      <c r="AT19" t="s"/>
      <c r="AU19" t="s"/>
      <c r="AV19" t="s"/>
      <c r="AW19" t="s"/>
      <c r="AX19" t="s"/>
      <c r="AY19" t="s"/>
      <c r="AZ19" t="s"/>
      <c r="BA19" t="s"/>
      <c r="BB19" t="s"/>
      <c r="BC19" t="s"/>
      <c r="BD19" t="s"/>
      <c r="BE19" t="s"/>
      <c r="BF19" t="s"/>
      <c r="BG19" t="s"/>
      <c r="BH19" t="s"/>
      <c r="BI19" t="s"/>
      <c r="BJ19" t="s"/>
      <c r="BK19" t="s"/>
      <c r="BL19" t="s"/>
      <c r="BM19" t="s"/>
      <c r="BN19" t="s"/>
      <c r="BO19" t="s"/>
      <c r="BP19" t="s"/>
      <c r="BQ19" t="s"/>
      <c r="BR19" t="s"/>
      <c r="BS19" t="s"/>
      <c r="BT19" t="s"/>
      <c r="BU19" t="s"/>
      <c r="BV19" t="s"/>
      <c r="BW19" t="s"/>
      <c r="BX19" t="s"/>
      <c r="BY19" t="s"/>
      <c r="BZ19" t="s"/>
      <c r="CA19" s="14">
        <v>2028</v>
      </c>
    </row>
    <row r="20" ht="13.15" customHeight="true">
      <c r="A20" s="37">
        <v>8</v>
      </c>
      <c r="B20" s="20" t="s">
        <v>50</v>
      </c>
      <c r="C20" s="1" t="s"/>
      <c r="D20" s="1" t="s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2"/>
      <c r="S20" s="20"/>
      <c r="T20" s="1" t="s"/>
      <c r="U20" s="20" t="s">
        <v>51</v>
      </c>
      <c r="V20" s="1" t="s"/>
      <c r="W20" s="1" t="s"/>
      <c r="X20" s="1" t="s"/>
      <c r="Y20" s="22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1"/>
      <c r="AN20" s="34"/>
      <c r="AO20" s="27">
        <f>EOMONTH(AO19,1)</f>
        <v>45291</v>
      </c>
      <c r="AP20" t="s"/>
      <c r="AQ20" t="s"/>
      <c r="AR20" t="s"/>
      <c r="AS20" t="s"/>
      <c r="AT20" t="s"/>
      <c r="AU20" t="s"/>
      <c r="AV20" t="s"/>
      <c r="AW20" t="s"/>
      <c r="AX20" t="s"/>
      <c r="AY20" t="s"/>
      <c r="AZ20" t="s"/>
      <c r="BA20" t="s"/>
      <c r="BB20" t="s"/>
      <c r="BC20" t="s"/>
      <c r="BD20" t="s"/>
      <c r="BE20" t="s"/>
      <c r="BF20" t="s"/>
      <c r="BG20" t="s"/>
      <c r="BH20" t="s"/>
      <c r="BI20" t="s"/>
      <c r="BJ20" t="s"/>
      <c r="BK20" t="s"/>
      <c r="BL20" t="s"/>
      <c r="BM20" t="s"/>
      <c r="BN20" t="s"/>
      <c r="BO20" t="s"/>
      <c r="BP20" t="s"/>
      <c r="BQ20" t="s"/>
      <c r="BR20" t="s"/>
      <c r="BS20" t="s"/>
      <c r="BT20" t="s"/>
      <c r="BU20" t="s"/>
      <c r="BV20" t="s"/>
      <c r="BW20" t="s"/>
      <c r="BX20" t="s"/>
      <c r="BY20" t="s"/>
      <c r="BZ20" t="s"/>
      <c r="CA20" s="14">
        <v>2029</v>
      </c>
    </row>
    <row r="21" ht="13.15" customHeight="true">
      <c r="A21" s="20"/>
      <c r="B21" s="20" t="s">
        <v>52</v>
      </c>
      <c r="C21" s="1" t="s"/>
      <c r="D21" s="1" t="s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2"/>
      <c r="S21" s="22"/>
      <c r="T21" s="20">
        <v>17</v>
      </c>
      <c r="U21" s="20" t="s">
        <v>53</v>
      </c>
      <c r="V21" s="1" t="s"/>
      <c r="W21" s="1" t="s"/>
      <c r="X21" s="1" t="s"/>
      <c r="Y21" s="22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1"/>
      <c r="AN21" s="34"/>
      <c r="AO21" s="38"/>
      <c r="AP21" t="s"/>
      <c r="AQ21" t="s"/>
      <c r="AR21" t="s"/>
      <c r="AS21" t="s"/>
      <c r="AT21" t="s"/>
      <c r="AU21" t="s"/>
      <c r="AV21" t="s"/>
      <c r="AW21" t="s"/>
      <c r="AX21" t="s"/>
      <c r="AY21" t="s"/>
      <c r="AZ21" t="s"/>
      <c r="BA21" t="s"/>
      <c r="BB21" t="s"/>
      <c r="BC21" t="s"/>
      <c r="BD21" t="s"/>
      <c r="BE21" t="s"/>
      <c r="BF21" t="s"/>
      <c r="BG21" t="s"/>
      <c r="BH21" t="s"/>
      <c r="BI21" t="s"/>
      <c r="BJ21" t="s"/>
      <c r="BK21" t="s"/>
      <c r="BL21" t="s"/>
      <c r="BM21" t="s"/>
      <c r="BN21" t="s"/>
      <c r="BO21" t="s"/>
      <c r="BP21" t="s"/>
      <c r="BQ21" t="s"/>
      <c r="BR21" t="s"/>
      <c r="BS21" t="s"/>
      <c r="BT21" t="s"/>
      <c r="BU21" t="s"/>
      <c r="BV21" t="s"/>
      <c r="BW21" t="s"/>
      <c r="BX21" t="s"/>
      <c r="BY21" t="s"/>
      <c r="BZ21" t="s"/>
      <c r="CA21" s="14">
        <v>2030</v>
      </c>
    </row>
    <row r="22" ht="13.15" customHeight="true">
      <c r="A22" s="20"/>
      <c r="B22" s="20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20"/>
      <c r="U22" s="20"/>
      <c r="V22" s="1" t="s"/>
      <c r="W22" s="1" t="s"/>
      <c r="X22" s="1" t="s"/>
      <c r="Y22" s="22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t="s"/>
      <c r="AN22" s="26"/>
      <c r="AO22" s="38"/>
      <c r="AP22" t="s"/>
      <c r="AQ22" t="s"/>
      <c r="AR22" t="s"/>
      <c r="AS22" t="s"/>
      <c r="AT22" t="s"/>
      <c r="AU22" t="s"/>
      <c r="AV22" t="s"/>
      <c r="AW22" t="s"/>
      <c r="AX22" t="s"/>
      <c r="AY22" t="s"/>
      <c r="AZ22" t="s"/>
      <c r="BA22" t="s"/>
      <c r="BB22" t="s"/>
      <c r="BC22" t="s"/>
      <c r="BD22" t="s"/>
      <c r="BE22" t="s"/>
      <c r="BF22" t="s"/>
      <c r="BG22" t="s"/>
      <c r="BH22" t="s"/>
      <c r="BI22" t="s"/>
      <c r="BJ22" t="s"/>
      <c r="BK22" t="s"/>
      <c r="BL22" t="s"/>
      <c r="BM22" t="s"/>
      <c r="BN22" t="s"/>
      <c r="BO22" t="s"/>
      <c r="BP22" t="s"/>
      <c r="BQ22" t="s"/>
      <c r="BR22" t="s"/>
      <c r="BS22" t="s"/>
      <c r="BT22" t="s"/>
      <c r="BU22" t="s"/>
      <c r="BV22" t="s"/>
      <c r="BW22" t="s"/>
      <c r="BX22" t="s"/>
      <c r="BY22" t="s"/>
      <c r="BZ22" t="s"/>
      <c r="CA22" s="14">
        <v>2031</v>
      </c>
    </row>
    <row r="23">
      <c r="A23" s="39" t="s">
        <v>54</v>
      </c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t="s"/>
      <c r="AN23" s="26"/>
      <c r="AO23" s="38"/>
      <c r="AP23" t="s"/>
      <c r="AQ23" t="s"/>
      <c r="AR23" t="s"/>
      <c r="AS23" t="s"/>
      <c r="AT23" t="s"/>
      <c r="AU23" t="s"/>
      <c r="AV23" t="s"/>
      <c r="AW23" t="s"/>
      <c r="AX23" t="s"/>
      <c r="AY23" t="s"/>
      <c r="AZ23" t="s"/>
      <c r="BA23" t="s"/>
      <c r="BB23" t="s"/>
      <c r="BC23" t="s"/>
      <c r="BD23" t="s"/>
      <c r="BE23" t="s"/>
      <c r="BF23" t="s"/>
      <c r="BG23" t="s"/>
      <c r="BH23" t="s"/>
      <c r="BI23" t="s"/>
      <c r="BJ23" t="s"/>
      <c r="BK23" t="s"/>
      <c r="BL23" t="s"/>
      <c r="BM23" t="s"/>
      <c r="BN23" t="s"/>
      <c r="BO23" t="s"/>
      <c r="BP23" t="s"/>
      <c r="BQ23" t="s"/>
      <c r="BR23" t="s"/>
      <c r="BS23" t="s"/>
      <c r="BT23" t="s"/>
      <c r="BU23" t="s"/>
      <c r="BV23" t="s"/>
      <c r="BW23" t="s"/>
      <c r="BX23" t="s"/>
      <c r="BY23" t="s"/>
      <c r="BZ23" t="s"/>
      <c r="CA23" s="14">
        <v>2032</v>
      </c>
    </row>
    <row r="24">
      <c r="A24" s="37" t="s">
        <v>55</v>
      </c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t="s"/>
      <c r="AN24" s="40"/>
      <c r="AO24" s="41"/>
      <c r="AP24" t="s"/>
      <c r="AQ24" t="s"/>
      <c r="AR24" t="s"/>
      <c r="AS24" t="s"/>
      <c r="AT24" t="s"/>
      <c r="AU24" t="s"/>
      <c r="AV24" t="s"/>
      <c r="AW24" t="s"/>
      <c r="AX24" t="s"/>
      <c r="AY24" t="s"/>
      <c r="AZ24" t="s"/>
      <c r="BA24" t="s"/>
      <c r="BB24" t="s"/>
      <c r="BC24" t="s"/>
      <c r="BD24" t="s"/>
      <c r="BE24" t="s"/>
      <c r="BF24" t="s"/>
      <c r="BG24" t="s"/>
      <c r="BH24" t="s"/>
      <c r="BI24" t="s"/>
      <c r="BJ24" t="s"/>
      <c r="BK24" t="s"/>
      <c r="BL24" t="s"/>
      <c r="BM24" t="s"/>
      <c r="BN24" t="s"/>
      <c r="BO24" t="s"/>
      <c r="BP24" t="s"/>
      <c r="BQ24" t="s"/>
      <c r="BR24" t="s"/>
      <c r="BS24" t="s"/>
      <c r="BT24" t="s"/>
      <c r="BU24" t="s"/>
      <c r="BV24" t="s"/>
      <c r="BW24" t="s"/>
      <c r="BX24" t="s"/>
      <c r="BY24" t="s"/>
      <c r="BZ24" t="s"/>
      <c r="CA24" s="14">
        <v>2033</v>
      </c>
    </row>
    <row r="25" ht="13.15" customHeight="true">
      <c r="A25" s="42" t="s">
        <v>56</v>
      </c>
      <c r="B25" s="43"/>
      <c r="C25" s="43"/>
      <c r="D25" s="43"/>
      <c r="E25" s="44"/>
      <c r="F25" s="45"/>
      <c r="G25" s="46" t="s">
        <v>57</v>
      </c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8"/>
      <c r="T25" s="49" t="s">
        <v>58</v>
      </c>
      <c r="U25" s="50"/>
      <c r="V25" s="50"/>
      <c r="W25" s="50"/>
      <c r="X25" s="50"/>
      <c r="Y25" s="45"/>
      <c r="Z25" s="51" t="s">
        <v>59</v>
      </c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3"/>
      <c r="AM25" t="s"/>
      <c r="AN25" s="40"/>
      <c r="AO25" s="1" t="s"/>
      <c r="AP25" t="s"/>
      <c r="AQ25" t="s"/>
      <c r="AR25" t="s"/>
      <c r="AS25" t="s"/>
      <c r="AT25" t="s"/>
      <c r="AU25" t="s"/>
      <c r="AV25" t="s"/>
      <c r="AW25" t="s"/>
      <c r="AX25" t="s"/>
      <c r="AY25" t="s"/>
      <c r="AZ25" t="s"/>
      <c r="BA25" t="s"/>
      <c r="BB25" t="s"/>
      <c r="BC25" t="s"/>
      <c r="BD25" t="s"/>
      <c r="BE25" t="s"/>
      <c r="BF25" t="s"/>
      <c r="BG25" t="s"/>
      <c r="BH25" t="s"/>
      <c r="BI25" t="s"/>
      <c r="BJ25" t="s"/>
      <c r="BK25" t="s"/>
      <c r="BL25" t="s"/>
      <c r="BM25" t="s"/>
      <c r="BN25" t="s"/>
      <c r="BO25" t="s"/>
      <c r="BP25" t="s"/>
      <c r="BQ25" t="s"/>
      <c r="BR25" t="s"/>
      <c r="BS25" t="s"/>
      <c r="BT25" t="s"/>
      <c r="BU25" t="s"/>
      <c r="BV25" t="s"/>
      <c r="BW25" t="s"/>
      <c r="BX25" t="s"/>
      <c r="BY25" t="s"/>
      <c r="BZ25" t="s"/>
      <c r="CA25" s="14">
        <v>2034</v>
      </c>
    </row>
    <row r="26" ht="13.15" customHeight="true">
      <c r="A26" s="54" t="s">
        <v>60</v>
      </c>
      <c r="B26" s="55"/>
      <c r="C26" s="55"/>
      <c r="D26" s="55"/>
      <c r="E26" s="55"/>
      <c r="F26" s="56"/>
      <c r="G26" s="57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9"/>
      <c r="T26" s="60" t="s">
        <v>61</v>
      </c>
      <c r="U26" s="61"/>
      <c r="V26" s="61"/>
      <c r="W26" s="61"/>
      <c r="X26" s="61"/>
      <c r="Y26" s="56"/>
      <c r="Z26" s="62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4"/>
      <c r="AM26" t="s"/>
      <c r="AN26" s="40"/>
      <c r="AO26" s="1" t="s"/>
      <c r="AP26" t="s"/>
      <c r="AQ26" t="s"/>
      <c r="AR26" t="s"/>
      <c r="AS26" t="s"/>
      <c r="AT26" t="s"/>
      <c r="AU26" t="s"/>
      <c r="AV26" t="s"/>
      <c r="AW26" t="s"/>
      <c r="AX26" t="s"/>
      <c r="AY26" t="s"/>
      <c r="AZ26" t="s"/>
      <c r="BA26" t="s"/>
      <c r="BB26" t="s"/>
      <c r="BC26" t="s"/>
      <c r="BD26" t="s"/>
      <c r="BE26" t="s"/>
      <c r="BF26" t="s"/>
      <c r="BG26" t="s"/>
      <c r="BH26" t="s"/>
      <c r="BI26" t="s"/>
      <c r="BJ26" t="s"/>
      <c r="BK26" t="s"/>
      <c r="BL26" t="s"/>
      <c r="BM26" t="s"/>
      <c r="BN26" t="s"/>
      <c r="BO26" t="s"/>
      <c r="BP26" t="s"/>
      <c r="BQ26" t="s"/>
      <c r="BR26" t="s"/>
      <c r="BS26" t="s"/>
      <c r="BT26" t="s"/>
      <c r="BU26" t="s"/>
      <c r="BV26" t="s"/>
      <c r="BW26" t="s"/>
      <c r="BX26" t="s"/>
      <c r="BY26" t="s"/>
      <c r="BZ26" t="s"/>
      <c r="CA26" s="14">
        <v>2035</v>
      </c>
    </row>
    <row r="27" ht="24.75" customHeight="true">
      <c r="A27" s="65" t="s">
        <v>62</v>
      </c>
      <c r="B27" s="37"/>
      <c r="C27" s="37"/>
      <c r="D27" s="37"/>
      <c r="E27" s="37"/>
      <c r="F27" s="66"/>
      <c r="G27" s="67" t="s">
        <v>63</v>
      </c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9"/>
      <c r="T27" s="70" t="s">
        <v>64</v>
      </c>
      <c r="U27" s="21"/>
      <c r="V27" s="21"/>
      <c r="W27" s="21"/>
      <c r="X27" s="21"/>
      <c r="Y27" s="66"/>
      <c r="Z27" s="67" t="s">
        <v>65</v>
      </c>
      <c r="AA27" s="71"/>
      <c r="AB27" s="71"/>
      <c r="AC27" s="71"/>
      <c r="AD27" s="71"/>
      <c r="AE27" s="71"/>
      <c r="AF27" s="71"/>
      <c r="AG27" s="71"/>
      <c r="AH27" s="71"/>
      <c r="AI27" s="71"/>
      <c r="AJ27" s="71"/>
      <c r="AK27" s="71"/>
      <c r="AL27" s="72"/>
      <c r="AM27" t="s"/>
      <c r="AN27" s="40"/>
      <c r="AO27" s="1" t="s"/>
      <c r="AP27" t="s"/>
      <c r="AQ27" t="s"/>
      <c r="AR27" t="s"/>
      <c r="AS27" t="s"/>
      <c r="AT27" t="s"/>
      <c r="AU27" t="s"/>
      <c r="AV27" t="s"/>
      <c r="AW27" t="s"/>
      <c r="AX27" t="s"/>
      <c r="AY27" t="s"/>
      <c r="AZ27" t="s"/>
      <c r="BA27" t="s"/>
      <c r="BB27" t="s"/>
      <c r="BC27" t="s"/>
      <c r="BD27" t="s"/>
      <c r="BE27" t="s"/>
      <c r="BF27" t="s"/>
      <c r="BG27" t="s"/>
      <c r="BH27" t="s"/>
      <c r="BI27" t="s"/>
      <c r="BJ27" t="s"/>
      <c r="BK27" t="s"/>
      <c r="BL27" t="s"/>
      <c r="BM27" t="s"/>
      <c r="BN27" t="s"/>
      <c r="BO27" t="s"/>
      <c r="BP27" t="s"/>
      <c r="BQ27" t="s"/>
      <c r="BR27" t="s"/>
      <c r="BS27" t="s"/>
      <c r="BT27" t="s"/>
      <c r="BU27" t="s"/>
      <c r="BV27" t="s"/>
      <c r="BW27" t="s"/>
      <c r="BX27" t="s"/>
      <c r="BY27" t="s"/>
      <c r="BZ27" t="s"/>
      <c r="CA27" t="s"/>
    </row>
    <row r="28" ht="13.15" customHeight="true">
      <c r="A28" s="73" t="s">
        <v>66</v>
      </c>
      <c r="B28" s="74"/>
      <c r="C28" s="74"/>
      <c r="D28" s="74"/>
      <c r="E28" s="74"/>
      <c r="F28" s="75"/>
      <c r="G28" s="76" t="s">
        <v>67</v>
      </c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8"/>
      <c r="T28" s="79" t="s">
        <v>68</v>
      </c>
      <c r="U28" s="80"/>
      <c r="V28" s="80"/>
      <c r="W28" s="81"/>
      <c r="X28" s="81"/>
      <c r="Y28" s="75"/>
      <c r="Z28" s="82" t="s">
        <v>69</v>
      </c>
      <c r="AA28" s="83"/>
      <c r="AB28" s="83"/>
      <c r="AC28" s="83"/>
      <c r="AD28" s="83"/>
      <c r="AE28" s="83"/>
      <c r="AF28" s="83"/>
      <c r="AG28" s="83"/>
      <c r="AH28" s="83"/>
      <c r="AI28" s="83"/>
      <c r="AJ28" s="83"/>
      <c r="AK28" s="83"/>
      <c r="AL28" s="84"/>
      <c r="AM28" t="s"/>
      <c r="AN28" s="1" t="s"/>
      <c r="AO28" s="1" t="s"/>
      <c r="AP28" t="s"/>
      <c r="AQ28" t="s"/>
      <c r="AR28" t="s"/>
      <c r="AS28" t="s"/>
      <c r="AT28" t="s"/>
      <c r="AU28" t="s"/>
      <c r="AV28" t="s"/>
      <c r="AW28" t="s"/>
      <c r="AX28" t="s"/>
      <c r="AY28" t="s"/>
      <c r="AZ28" t="s"/>
      <c r="BA28" t="s"/>
      <c r="BB28" t="s"/>
      <c r="BC28" t="s"/>
      <c r="BD28" t="s"/>
      <c r="BE28" t="s"/>
      <c r="BF28" t="s"/>
      <c r="BG28" t="s"/>
      <c r="BH28" t="s"/>
      <c r="BI28" t="s"/>
      <c r="BJ28" t="s"/>
      <c r="BK28" t="s"/>
      <c r="BL28" t="s"/>
      <c r="BM28" t="s"/>
      <c r="BN28" t="s"/>
      <c r="BO28" t="s"/>
      <c r="BP28" t="s"/>
      <c r="BQ28" t="s"/>
      <c r="BR28" t="s"/>
      <c r="BS28" t="s"/>
      <c r="BT28" t="s"/>
      <c r="BU28" t="s"/>
      <c r="BV28" t="s"/>
      <c r="BW28" t="s"/>
      <c r="BX28" t="s"/>
      <c r="BY28" t="s"/>
      <c r="BZ28" t="s"/>
      <c r="CA28" t="s"/>
    </row>
    <row r="29" ht="13.15" customHeight="true">
      <c r="A29" s="54" t="s">
        <v>70</v>
      </c>
      <c r="B29" s="55"/>
      <c r="C29" s="55"/>
      <c r="D29" s="55"/>
      <c r="E29" s="55"/>
      <c r="F29" s="56"/>
      <c r="G29" s="85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  <c r="S29" s="87"/>
      <c r="T29" s="88" t="s">
        <v>71</v>
      </c>
      <c r="U29" s="89"/>
      <c r="V29" s="89"/>
      <c r="W29" s="90"/>
      <c r="X29" s="90"/>
      <c r="Y29" s="56"/>
      <c r="Z29" s="91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3"/>
      <c r="AM29" t="s"/>
      <c r="AN29" s="1" t="s"/>
      <c r="AO29" s="1" t="s"/>
      <c r="AP29" t="s"/>
      <c r="AQ29" t="s"/>
      <c r="AR29" t="s"/>
      <c r="AS29" t="s"/>
      <c r="AT29" t="s"/>
      <c r="AU29" t="s"/>
      <c r="AV29" t="s"/>
      <c r="AW29" t="s"/>
      <c r="AX29" t="s"/>
      <c r="AY29" t="s"/>
      <c r="AZ29" t="s"/>
      <c r="BA29" t="s"/>
      <c r="BB29" t="s"/>
      <c r="BC29" t="s"/>
      <c r="BD29" t="s"/>
      <c r="BE29" t="s"/>
      <c r="BF29" t="s"/>
      <c r="BG29" t="s"/>
      <c r="BH29" t="s"/>
      <c r="BI29" t="s"/>
      <c r="BJ29" t="s"/>
      <c r="BK29" t="s"/>
      <c r="BL29" t="s"/>
      <c r="BM29" t="s"/>
      <c r="BN29" t="s"/>
      <c r="BO29" t="s"/>
      <c r="BP29" t="s"/>
      <c r="BQ29" t="s"/>
      <c r="BR29" t="s"/>
      <c r="BS29" t="s"/>
      <c r="BT29" t="s"/>
      <c r="BU29" t="s"/>
      <c r="BV29" t="s"/>
      <c r="BW29" t="s"/>
      <c r="BX29" t="s"/>
      <c r="BY29" t="s"/>
      <c r="BZ29" t="s"/>
      <c r="CA29" t="s"/>
    </row>
    <row r="30" ht="13.15" customHeight="true">
      <c r="A30" s="94" t="s">
        <v>68</v>
      </c>
      <c r="B30" s="37"/>
      <c r="C30" s="37"/>
      <c r="D30" s="37"/>
      <c r="E30" s="37"/>
      <c r="F30" s="66"/>
      <c r="G30" s="76" t="s">
        <v>72</v>
      </c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8"/>
      <c r="T30" s="95" t="s">
        <v>68</v>
      </c>
      <c r="U30" s="21"/>
      <c r="V30" s="21"/>
      <c r="W30" s="21"/>
      <c r="X30" s="21"/>
      <c r="Y30" s="96"/>
      <c r="Z30" s="97" t="s">
        <v>73</v>
      </c>
      <c r="AA30" s="75"/>
      <c r="AB30" s="98">
        <v>0</v>
      </c>
      <c r="AC30" s="99">
        <v>8</v>
      </c>
      <c r="AD30" s="99">
        <v>2</v>
      </c>
      <c r="AE30" s="99" t="s">
        <v>74</v>
      </c>
      <c r="AF30" s="99">
        <v>4</v>
      </c>
      <c r="AG30" s="99">
        <v>9</v>
      </c>
      <c r="AH30" s="99">
        <v>2</v>
      </c>
      <c r="AI30" s="99">
        <v>3</v>
      </c>
      <c r="AJ30" s="99">
        <v>6</v>
      </c>
      <c r="AK30" s="99">
        <v>0</v>
      </c>
      <c r="AL30" s="100">
        <v>4</v>
      </c>
      <c r="AM30" t="s"/>
      <c r="AN30" s="1" t="s"/>
      <c r="AO30" s="1" t="s"/>
      <c r="AP30" t="s"/>
      <c r="AQ30" t="s"/>
      <c r="AR30" t="s"/>
      <c r="AS30" t="s"/>
      <c r="AT30" t="s"/>
      <c r="AU30" t="s"/>
      <c r="AV30" t="s"/>
      <c r="AW30" t="s"/>
      <c r="AX30" t="s"/>
      <c r="AY30" t="s"/>
      <c r="AZ30" t="s"/>
      <c r="BA30" t="s"/>
      <c r="BB30" t="s"/>
      <c r="BC30" t="s"/>
      <c r="BD30" t="s"/>
      <c r="BE30" t="s"/>
      <c r="BF30" t="s"/>
      <c r="BG30" t="s"/>
      <c r="BH30" t="s"/>
      <c r="BI30" t="s"/>
      <c r="BJ30" t="s"/>
      <c r="BK30" t="s"/>
      <c r="BL30" t="s"/>
      <c r="BM30" t="s"/>
      <c r="BN30" t="s"/>
      <c r="BO30" t="s"/>
      <c r="BP30" t="s"/>
      <c r="BQ30" t="s"/>
      <c r="BR30" t="s"/>
      <c r="BS30" t="s"/>
      <c r="BT30" t="s"/>
      <c r="BU30" t="s"/>
      <c r="BV30" t="s"/>
      <c r="BW30" t="s"/>
      <c r="BX30" t="s"/>
      <c r="BY30" t="s"/>
      <c r="BZ30" t="s"/>
      <c r="CA30" t="s"/>
    </row>
    <row r="31" ht="13.15" customHeight="true">
      <c r="A31" s="54" t="s">
        <v>75</v>
      </c>
      <c r="B31" s="55"/>
      <c r="C31" s="55"/>
      <c r="D31" s="55"/>
      <c r="E31" s="55"/>
      <c r="F31" s="56"/>
      <c r="G31" s="85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7"/>
      <c r="T31" s="60" t="s">
        <v>76</v>
      </c>
      <c r="U31" s="61"/>
      <c r="V31" s="61"/>
      <c r="W31" s="61"/>
      <c r="X31" s="61"/>
      <c r="Y31" s="101"/>
      <c r="Z31" s="102" t="s">
        <v>77</v>
      </c>
      <c r="AA31" s="56"/>
      <c r="AB31" s="103">
        <v>0</v>
      </c>
      <c r="AC31" s="104">
        <v>2</v>
      </c>
      <c r="AD31" s="104">
        <v>1</v>
      </c>
      <c r="AE31" s="104" t="s">
        <v>74</v>
      </c>
      <c r="AF31" s="104">
        <v>6</v>
      </c>
      <c r="AG31" s="104">
        <v>9</v>
      </c>
      <c r="AH31" s="104">
        <v>1</v>
      </c>
      <c r="AI31" s="104">
        <v>3</v>
      </c>
      <c r="AJ31" s="104">
        <v>7</v>
      </c>
      <c r="AK31" s="104">
        <v>9</v>
      </c>
      <c r="AL31" s="105">
        <v>3</v>
      </c>
      <c r="AM31" t="s"/>
      <c r="AN31" s="1" t="s"/>
      <c r="AO31" s="1" t="s"/>
      <c r="AP31" t="s"/>
      <c r="AQ31" t="s"/>
      <c r="AR31" t="s"/>
      <c r="AS31" t="s"/>
      <c r="AT31" t="s"/>
      <c r="AU31" t="s"/>
      <c r="AV31" t="s"/>
      <c r="AW31" t="s"/>
      <c r="AX31" t="s"/>
      <c r="AY31" t="s"/>
      <c r="AZ31" t="s"/>
      <c r="BA31" t="s"/>
      <c r="BB31" t="s"/>
      <c r="BC31" t="s"/>
      <c r="BD31" t="s"/>
      <c r="BE31" t="s"/>
      <c r="BF31" t="s"/>
      <c r="BG31" t="s"/>
      <c r="BH31" t="s"/>
      <c r="BI31" t="s"/>
      <c r="BJ31" t="s"/>
      <c r="BK31" t="s"/>
      <c r="BL31" t="s"/>
      <c r="BM31" t="s"/>
      <c r="BN31" t="s"/>
      <c r="BO31" t="s"/>
      <c r="BP31" t="s"/>
      <c r="BQ31" t="s"/>
      <c r="BR31" t="s"/>
      <c r="BS31" t="s"/>
      <c r="BT31" t="s"/>
      <c r="BU31" t="s"/>
      <c r="BV31" t="s"/>
      <c r="BW31" t="s"/>
      <c r="BX31" t="s"/>
      <c r="BY31" t="s"/>
      <c r="BZ31" t="s"/>
      <c r="CA31" t="s"/>
    </row>
    <row r="32" ht="13.15" customHeight="true">
      <c r="A32" s="106" t="s">
        <v>78</v>
      </c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07"/>
      <c r="AM32" t="s"/>
      <c r="AN32" s="1" t="s"/>
      <c r="AO32" s="1" t="s"/>
      <c r="AP32" t="s"/>
      <c r="AQ32" t="s"/>
      <c r="AR32" t="s"/>
      <c r="AS32" t="s"/>
      <c r="AT32" t="s"/>
      <c r="AU32" t="s"/>
      <c r="AV32" t="s"/>
      <c r="AW32" t="s"/>
      <c r="AX32" t="s"/>
      <c r="AY32" t="s"/>
      <c r="AZ32" t="s"/>
      <c r="BA32" t="s"/>
      <c r="BB32" t="s"/>
      <c r="BC32" t="s"/>
      <c r="BD32" t="s"/>
      <c r="BE32" t="s"/>
      <c r="BF32" t="s"/>
      <c r="BG32" t="s"/>
      <c r="BH32" t="s"/>
      <c r="BI32" t="s"/>
      <c r="BJ32" t="s"/>
      <c r="BK32" t="s"/>
      <c r="BL32" t="s"/>
      <c r="BM32" t="s"/>
      <c r="BN32" t="s"/>
      <c r="BO32" t="s"/>
      <c r="BP32" t="s"/>
      <c r="BQ32" t="s"/>
      <c r="BR32" t="s"/>
      <c r="BS32" t="s"/>
      <c r="BT32" t="s"/>
      <c r="BU32" t="s"/>
      <c r="BV32" t="s"/>
      <c r="BW32" t="s"/>
      <c r="BX32" t="s"/>
      <c r="BY32" t="s"/>
      <c r="BZ32" t="s"/>
      <c r="CA32" t="s"/>
    </row>
    <row r="33" ht="13.15" customHeight="true">
      <c r="A33" s="108" t="s">
        <v>79</v>
      </c>
      <c r="B33" s="109"/>
      <c r="C33" s="109" t="s">
        <v>80</v>
      </c>
      <c r="D33" s="109"/>
      <c r="E33" s="109" t="s">
        <v>81</v>
      </c>
      <c r="F33" s="109"/>
      <c r="G33" s="109" t="s">
        <v>82</v>
      </c>
      <c r="H33" s="109"/>
      <c r="I33" s="109" t="s">
        <v>83</v>
      </c>
      <c r="J33" s="109"/>
      <c r="K33" s="110" t="s">
        <v>84</v>
      </c>
      <c r="L33" s="111"/>
      <c r="M33" s="110" t="s">
        <v>85</v>
      </c>
      <c r="N33" s="111"/>
      <c r="O33" s="110" t="s">
        <v>86</v>
      </c>
      <c r="P33" s="111"/>
      <c r="Q33" s="110" t="s">
        <v>87</v>
      </c>
      <c r="R33" s="111"/>
      <c r="S33" s="110" t="s">
        <v>88</v>
      </c>
      <c r="T33" s="111"/>
      <c r="U33" s="110" t="s">
        <v>89</v>
      </c>
      <c r="V33" s="111"/>
      <c r="W33" s="110" t="s">
        <v>90</v>
      </c>
      <c r="X33" s="111"/>
      <c r="Y33" s="112" t="s">
        <v>91</v>
      </c>
      <c r="Z33" s="113"/>
      <c r="AA33" s="113"/>
      <c r="AB33" s="113"/>
      <c r="AC33" s="113"/>
      <c r="AD33" s="114"/>
      <c r="AE33" s="115" t="str">
        <f>MID($AO$3,5,1)</f>
        <v>2</v>
      </c>
      <c r="AF33" s="116"/>
      <c r="AG33" s="116" t="str">
        <f>MID($AO$3,6,1)</f>
        <v>0</v>
      </c>
      <c r="AH33" s="116"/>
      <c r="AI33" s="116" t="str">
        <f>MID($AO$3,7,1)</f>
        <v>2</v>
      </c>
      <c r="AJ33" s="116"/>
      <c r="AK33" s="116" t="str">
        <f>MID($AO$3,8,1)</f>
        <v>3</v>
      </c>
      <c r="AL33" s="117"/>
    </row>
    <row r="34" ht="13.15" customHeight="true">
      <c r="A34" s="118" t="str">
        <f>IF($AO$1=AR$1,"X","")</f>
      </c>
      <c r="B34" s="119"/>
      <c r="C34" s="119" t="str">
        <f>IF($AO$1=AS$1,"X","")</f>
      </c>
      <c r="D34" s="119"/>
      <c r="E34" s="119" t="str">
        <f>IF($AO$1=AT$1,"X","")</f>
      </c>
      <c r="F34" s="119"/>
      <c r="G34" s="119" t="str">
        <f>IF($AO$1=AU$1,"X","")</f>
      </c>
      <c r="H34" s="119"/>
      <c r="I34" s="119" t="str">
        <f>IF($AO$1=AV$1,"X","")</f>
      </c>
      <c r="J34" s="119"/>
      <c r="K34" s="119" t="str">
        <f>IF($AO$1=AW$1,"X","")</f>
      </c>
      <c r="L34" s="119"/>
      <c r="M34" s="119" t="str">
        <f>IF($AO$1=AX$1,"X","")</f>
      </c>
      <c r="N34" s="119"/>
      <c r="O34" s="119" t="str">
        <f>IF($AO$1=AY$1,"X","")</f>
      </c>
      <c r="P34" s="119"/>
      <c r="Q34" s="120" t="str">
        <f>IF($AO$1=AZ$1,"X","")</f>
        <v>X</v>
      </c>
      <c r="R34" s="121"/>
      <c r="S34" s="119" t="str">
        <f>IF($AO$1=BA$1,"X","")</f>
      </c>
      <c r="T34" s="119"/>
      <c r="U34" s="119" t="str">
        <f>IF($AO$1=BB$1,"X","")</f>
      </c>
      <c r="V34" s="119"/>
      <c r="W34" s="120" t="str">
        <f>IF($AO$1=BC$1,"X","")</f>
      </c>
      <c r="X34" s="121"/>
      <c r="Y34" s="122"/>
      <c r="Z34" s="122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4"/>
    </row>
    <row r="35" ht="13.15" customHeight="true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ht="13.15" customHeight="true">
      <c r="A36" s="125" t="s">
        <v>92</v>
      </c>
      <c r="B36" s="126"/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7"/>
      <c r="N36" s="127"/>
      <c r="O36" s="128"/>
      <c r="P36" s="129"/>
      <c r="Q36" s="128"/>
      <c r="R36" s="128"/>
      <c r="S36" s="128"/>
      <c r="T36" s="128"/>
      <c r="U36" s="130"/>
      <c r="V36" s="43"/>
      <c r="W36" s="131" t="s">
        <v>93</v>
      </c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132"/>
    </row>
    <row r="37" ht="13.15" customHeight="true">
      <c r="A37" s="133" t="str">
        <f>MID($AO$3,5,1)</f>
        <v>2</v>
      </c>
      <c r="B37" s="116"/>
      <c r="C37" s="116" t="str">
        <f>MID($AO$3,6,1)</f>
        <v>0</v>
      </c>
      <c r="D37" s="116"/>
      <c r="E37" s="116" t="str">
        <f>MID($AO$3,7,1)</f>
        <v>2</v>
      </c>
      <c r="F37" s="116"/>
      <c r="G37" s="116" t="str">
        <f>MID($AO$3,8,1)</f>
        <v>3</v>
      </c>
      <c r="H37" s="134"/>
      <c r="I37" s="115" t="str">
        <f>MID($AO$3,3,1)</f>
        <v>0</v>
      </c>
      <c r="J37" s="116"/>
      <c r="K37" s="116" t="str">
        <f>MID($AO$3,4,1)</f>
        <v>9</v>
      </c>
      <c r="L37" s="134"/>
      <c r="M37" s="115" t="str">
        <f>MID($AO$3,1,1)</f>
        <v>0</v>
      </c>
      <c r="N37" s="116"/>
      <c r="O37" s="116" t="str">
        <f>MID($AO$3,2,1)</f>
        <v>1</v>
      </c>
      <c r="P37" s="134"/>
      <c r="Q37" s="36"/>
      <c r="R37" s="36"/>
      <c r="S37" s="7"/>
      <c r="T37" s="7"/>
      <c r="U37" s="36"/>
      <c r="V37" s="36"/>
      <c r="W37" s="115" t="str">
        <f>MID($AP$3,5,1)</f>
        <v>2</v>
      </c>
      <c r="X37" s="116"/>
      <c r="Y37" s="116" t="str">
        <f>MID($AP$3,6,1)</f>
        <v>0</v>
      </c>
      <c r="Z37" s="116"/>
      <c r="AA37" s="116" t="str">
        <f>MID($AP$3,7,1)</f>
        <v>2</v>
      </c>
      <c r="AB37" s="116"/>
      <c r="AC37" s="116" t="str">
        <f>MID($AP$3,8,1)</f>
        <v>3</v>
      </c>
      <c r="AD37" s="134"/>
      <c r="AE37" s="115" t="str">
        <f>MID($AP$3,3,1)</f>
        <v>0</v>
      </c>
      <c r="AF37" s="116"/>
      <c r="AG37" s="116" t="str">
        <f>MID($AP$3,4,1)</f>
        <v>9</v>
      </c>
      <c r="AH37" s="134"/>
      <c r="AI37" s="115" t="str">
        <f>MID($AP$3,1,1)</f>
        <v>3</v>
      </c>
      <c r="AJ37" s="116"/>
      <c r="AK37" s="116" t="str">
        <f>MID($AP$3,2,1)</f>
        <v>0</v>
      </c>
      <c r="AL37" s="117"/>
    </row>
    <row r="38" ht="13.15" customHeight="true">
      <c r="A38" s="106" t="s">
        <v>94</v>
      </c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07"/>
    </row>
    <row r="39" ht="13.15" customHeight="true">
      <c r="A39" s="135" t="s">
        <v>95</v>
      </c>
      <c r="B39" s="136"/>
      <c r="C39" s="137"/>
      <c r="D39" s="138"/>
      <c r="E39" s="139"/>
      <c r="F39" s="139"/>
      <c r="G39" s="139"/>
      <c r="H39" s="139"/>
      <c r="I39" s="139"/>
      <c r="J39" s="139"/>
      <c r="K39" s="139"/>
      <c r="L39" s="139"/>
      <c r="M39" s="138"/>
      <c r="N39" s="140"/>
      <c r="O39" s="139"/>
      <c r="P39" s="138"/>
      <c r="Q39" s="140"/>
      <c r="R39" s="139" t="str">
        <f>$AO$8</f>
        <v>0</v>
      </c>
      <c r="S39" s="139" t="str">
        <f>$AP$8</f>
      </c>
      <c r="T39" s="139" t="str">
        <f>$AQ$8</f>
      </c>
      <c r="U39" s="139" t="str">
        <f>$AR$8</f>
      </c>
      <c r="V39" s="139" t="str">
        <f>$AS$8</f>
      </c>
      <c r="W39" s="139" t="str">
        <f>$AT$8</f>
      </c>
      <c r="X39" s="139" t="str">
        <f>$AU$8</f>
      </c>
      <c r="Y39" s="141" t="str">
        <f>$AV$8</f>
      </c>
      <c r="Z39" s="139" t="str">
        <f>$AW$8</f>
      </c>
      <c r="AA39" s="137" t="str">
        <f>$AX$8</f>
      </c>
      <c r="AB39" s="142" t="str">
        <f>$AY$8</f>
      </c>
      <c r="AC39" s="123"/>
      <c r="AD39" s="123"/>
      <c r="AE39" s="123"/>
      <c r="AF39" s="123"/>
      <c r="AG39" s="123"/>
      <c r="AH39" s="123"/>
      <c r="AI39" s="123"/>
      <c r="AJ39" s="123"/>
      <c r="AK39" s="123"/>
      <c r="AL39" s="124"/>
    </row>
    <row r="40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>
      <c r="A42" s="1" t="s"/>
      <c r="B42" s="1" t="s"/>
      <c r="C42" s="1" t="s"/>
      <c r="D42" s="1" t="s"/>
      <c r="E42" s="1" t="s"/>
      <c r="F42" s="1" t="s"/>
      <c r="G42" s="1" t="s"/>
      <c r="H42" s="1" t="s"/>
      <c r="I42" s="1" t="s"/>
      <c r="J42" s="1" t="s"/>
      <c r="K42" s="1" t="s"/>
      <c r="L42" s="1" t="s"/>
      <c r="M42" s="1" t="s"/>
      <c r="N42" s="1" t="s"/>
      <c r="O42" s="1" t="s"/>
      <c r="P42" s="1" t="s"/>
      <c r="Q42" s="1" t="s"/>
      <c r="R42" s="1" t="s"/>
      <c r="S42" s="1" t="s"/>
      <c r="T42" s="1" t="s"/>
      <c r="U42" s="1" t="s"/>
      <c r="V42" s="1" t="s"/>
      <c r="W42" s="1" t="s"/>
      <c r="X42" s="7"/>
      <c r="Y42" s="1" t="s"/>
      <c r="Z42" s="1" t="s"/>
      <c r="AA42" s="1" t="s"/>
      <c r="AB42" s="1" t="s"/>
      <c r="AC42" s="1" t="s"/>
      <c r="AD42" s="1" t="s"/>
      <c r="AE42" s="1" t="s"/>
      <c r="AF42" s="1" t="s"/>
      <c r="AG42" s="1" t="s"/>
      <c r="AH42" s="1" t="s"/>
      <c r="AI42" s="1" t="s"/>
      <c r="AJ42" s="1" t="s"/>
      <c r="AK42" s="1" t="s"/>
      <c r="AL42" s="1" t="s"/>
    </row>
  </sheetData>
  <dataValidations count="1">
    <dataValidation allowBlank="true" showInputMessage="true" showErrorMessage="true" promptTitle="MONTH" prompt="Please select a Month" type="" sqref="AN1">
      <formula1/>
    </dataValidation>
  </dataValidations>
  <mergeCells count="63">
    <mergeCell ref="M1:Z1"/>
    <mergeCell ref="M2:Z2"/>
    <mergeCell ref="A3:N3"/>
    <mergeCell ref="A23:AL23"/>
    <mergeCell ref="G25:S26"/>
    <mergeCell ref="Z25:AL26"/>
    <mergeCell ref="G27:S27"/>
    <mergeCell ref="Z27:AL27"/>
    <mergeCell ref="G28:S29"/>
    <mergeCell ref="Z28:AL29"/>
    <mergeCell ref="G30:S31"/>
    <mergeCell ref="Z30:AA30"/>
    <mergeCell ref="Z31:AA31"/>
    <mergeCell ref="A32:AL32"/>
    <mergeCell ref="A33:B33"/>
    <mergeCell ref="C33:D33"/>
    <mergeCell ref="E33:F33"/>
    <mergeCell ref="G33:H33"/>
    <mergeCell ref="I33:J33"/>
    <mergeCell ref="K33:L33"/>
    <mergeCell ref="M33:N33"/>
    <mergeCell ref="O33:P33"/>
    <mergeCell ref="Q33:R33"/>
    <mergeCell ref="S33:T33"/>
    <mergeCell ref="U33:V33"/>
    <mergeCell ref="W33:X33"/>
    <mergeCell ref="Y33:AD33"/>
    <mergeCell ref="AE33:AF33"/>
    <mergeCell ref="AG33:AH33"/>
    <mergeCell ref="AI33:AJ33"/>
    <mergeCell ref="AK33:AL33"/>
    <mergeCell ref="A34:B34"/>
    <mergeCell ref="C34:D34"/>
    <mergeCell ref="E34:F34"/>
    <mergeCell ref="G34:H34"/>
    <mergeCell ref="I34:J34"/>
    <mergeCell ref="K34:L34"/>
    <mergeCell ref="M34:N34"/>
    <mergeCell ref="O34:P34"/>
    <mergeCell ref="Q34:R34"/>
    <mergeCell ref="S34:T34"/>
    <mergeCell ref="U34:V34"/>
    <mergeCell ref="W34:X34"/>
    <mergeCell ref="Y34:Z34"/>
    <mergeCell ref="A37:B37"/>
    <mergeCell ref="C37:D37"/>
    <mergeCell ref="E37:F37"/>
    <mergeCell ref="G37:H37"/>
    <mergeCell ref="I37:J37"/>
    <mergeCell ref="K37:L37"/>
    <mergeCell ref="M37:N37"/>
    <mergeCell ref="O37:P37"/>
    <mergeCell ref="Q37:R37"/>
    <mergeCell ref="U37:V37"/>
    <mergeCell ref="W37:X37"/>
    <mergeCell ref="Y37:Z37"/>
    <mergeCell ref="AA37:AB37"/>
    <mergeCell ref="AC37:AD37"/>
    <mergeCell ref="AE37:AF37"/>
    <mergeCell ref="AG37:AH37"/>
    <mergeCell ref="AI37:AJ37"/>
    <mergeCell ref="AK37:AL37"/>
    <mergeCell ref="A39:B39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>
  <sheetPr filterMode="false">
    <pageSetUpPr fitToPage="false"/>
  </sheetPr>
  <dimension ref="A1:R74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85546875" defaultRowHeight="12.75"/>
  <cols>
    <col collapsed="false" hidden="false" max="1" min="1" style="144" width="20.7109375" customWidth="true"/>
    <col collapsed="false" hidden="false" max="2" min="2" style="1" width="4.42578125" customWidth="true"/>
    <col collapsed="false" hidden="false" max="5" min="3" style="1" width="24.42578125" customWidth="true"/>
    <col collapsed="false" hidden="false" max="5" min="3" style="1" width="24.42578125" customWidth="true"/>
    <col collapsed="false" hidden="false" max="5" min="3" style="1" width="24.42578125" customWidth="true"/>
    <col collapsed="false" hidden="false" max="6" min="6" style="1" width="10.140625" customWidth="true"/>
    <col collapsed="false" hidden="false" max="9" min="7" style="1" width="8.85546875" customWidth="true"/>
    <col collapsed="false" hidden="false" max="9" min="7" style="1" width="8.85546875" customWidth="true"/>
    <col collapsed="false" hidden="false" max="9" min="7" style="1" width="8.85546875" customWidth="true"/>
    <col collapsed="false" hidden="false" max="11" min="10" style="1" width="10.140625" customWidth="true"/>
    <col collapsed="false" hidden="false" max="11" min="10" style="1" width="10.14062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7" min="16" style="1" width="14.5703125" customWidth="true"/>
    <col collapsed="false" hidden="false" max="17" min="16" style="1" width="14.5703125" customWidth="true"/>
    <col collapsed="false" hidden="false" max="18" min="18" style="145" width="8.85546875" customWidth="true"/>
  </cols>
  <sheetData>
    <row r="1">
      <c r="A1" s="144" t="s"/>
      <c r="B1" s="146" t="s">
        <v>96</v>
      </c>
      <c r="C1" s="2"/>
      <c r="D1" s="2"/>
      <c r="E1" s="147" t="s">
        <v>2</v>
      </c>
      <c r="F1" s="1" t="s"/>
      <c r="G1" s="2"/>
      <c r="H1" s="2"/>
      <c r="I1" s="2"/>
      <c r="J1" s="1" t="s"/>
      <c r="K1" s="1" t="s"/>
      <c r="L1" s="1" t="s"/>
      <c r="M1" s="1" t="s"/>
      <c r="N1" s="1" t="s"/>
      <c r="O1" s="1" t="s"/>
      <c r="P1" s="1" t="s"/>
      <c r="Q1" s="1" t="s"/>
      <c r="R1" s="11">
        <f>IF($P$30&gt;0,1,"")</f>
        <v>1</v>
      </c>
    </row>
    <row r="2">
      <c r="A2" s="144" t="s"/>
      <c r="B2" s="1" t="s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11">
        <f>IF('Beneficiaries (2)'!$P$30&gt;0,1,"")</f>
        <v>1</v>
      </c>
    </row>
    <row r="3">
      <c r="A3" s="144" t="s"/>
      <c r="B3" s="148" t="s">
        <v>97</v>
      </c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1">
        <f>IF('Beneficiaries (3)'!$P$30&gt;0,1,"")</f>
        <v>1</v>
      </c>
    </row>
    <row r="4">
      <c r="A4" s="144" t="s"/>
      <c r="B4" s="1" t="s"/>
      <c r="C4" s="146"/>
      <c r="D4" s="146"/>
      <c r="E4" s="146"/>
      <c r="F4" s="146"/>
      <c r="G4" s="146"/>
      <c r="H4" s="1" t="s"/>
      <c r="I4" s="1" t="s"/>
      <c r="J4" s="1" t="s"/>
      <c r="K4" s="1" t="s"/>
      <c r="L4" s="1" t="s"/>
      <c r="M4" s="1" t="s"/>
      <c r="N4" s="1" t="s"/>
      <c r="O4" s="1" t="s"/>
      <c r="P4" s="1" t="s"/>
      <c r="Q4" s="1" t="s"/>
      <c r="R4" s="11">
        <f>IF('Beneficiaries (4)'!$P$30&gt;0,1,"")</f>
        <v>1</v>
      </c>
    </row>
    <row r="5" ht="12.75" customHeight="true">
      <c r="A5" s="144" t="s"/>
      <c r="B5" s="149" t="s">
        <v>98</v>
      </c>
      <c r="C5" s="150"/>
      <c r="D5" s="151" t="str">
        <f>Project!$Z$25</f>
        <v>WSDS/24/111i</v>
      </c>
      <c r="E5" s="151"/>
      <c r="F5" s="152"/>
      <c r="G5" s="1" t="s"/>
      <c r="H5" s="153" t="s">
        <v>99</v>
      </c>
      <c r="I5" s="153" t="s">
        <v>100</v>
      </c>
      <c r="J5" s="146"/>
      <c r="K5" s="154" t="s">
        <v>101</v>
      </c>
      <c r="L5" s="154"/>
      <c r="M5" s="154"/>
      <c r="N5" s="39"/>
      <c r="O5" s="39"/>
      <c r="P5" s="146"/>
      <c r="Q5" s="146"/>
      <c r="R5" s="11">
        <f>IF('Beneficiaries (5)'!$P$30&gt;0,1,"")</f>
        <v>1</v>
      </c>
    </row>
    <row r="6">
      <c r="A6" s="144" t="s"/>
      <c r="B6" s="155"/>
      <c r="C6" s="156"/>
      <c r="D6" s="151"/>
      <c r="E6" s="151"/>
      <c r="F6" s="152"/>
      <c r="G6" s="1" t="s"/>
      <c r="H6" s="109" t="str">
        <f>TEXT(Project!$AN$1,"YYYY")</f>
        <v>2023</v>
      </c>
      <c r="I6" s="109" t="str">
        <f>TEXT(Project!$AN$1,"MMMM")</f>
        <v>September</v>
      </c>
      <c r="J6" s="7"/>
      <c r="K6" s="157">
        <v>1</v>
      </c>
      <c r="L6" s="154" t="s">
        <v>102</v>
      </c>
      <c r="M6" s="154">
        <f>IF(K6&gt;0,COUNT(R1:R20),"")</f>
        <v>14</v>
      </c>
      <c r="N6" s="39"/>
      <c r="O6" s="39"/>
      <c r="P6" s="14"/>
      <c r="Q6" s="14"/>
      <c r="R6" s="11">
        <f>IF('Beneficiaries (6)'!$P$30&gt;0,1,"")</f>
        <v>1</v>
      </c>
    </row>
    <row r="7">
      <c r="A7" s="144" t="s"/>
      <c r="B7" s="158"/>
      <c r="C7" s="158"/>
      <c r="D7" s="158"/>
      <c r="E7" s="14"/>
      <c r="F7" s="14"/>
      <c r="G7" s="1" t="s"/>
      <c r="H7" s="7"/>
      <c r="I7" s="7"/>
      <c r="J7" s="7"/>
      <c r="K7" s="14"/>
      <c r="L7" s="39"/>
      <c r="M7" s="39"/>
      <c r="N7" s="39"/>
      <c r="O7" s="39"/>
      <c r="P7" s="14"/>
      <c r="Q7" s="14"/>
      <c r="R7" s="11">
        <f>IF('Beneficiaries (7)'!$P$30&gt;0,1,"")</f>
        <v>1</v>
      </c>
    </row>
    <row r="8">
      <c r="A8" s="144" t="s"/>
      <c r="B8" s="159"/>
      <c r="C8" s="160" t="s">
        <v>103</v>
      </c>
      <c r="D8" s="160" t="s">
        <v>103</v>
      </c>
      <c r="E8" s="160" t="s">
        <v>103</v>
      </c>
      <c r="F8" s="160" t="s">
        <v>104</v>
      </c>
      <c r="G8" s="159"/>
      <c r="H8" s="159"/>
      <c r="I8" s="160" t="s">
        <v>105</v>
      </c>
      <c r="J8" s="159"/>
      <c r="K8" s="160" t="s">
        <v>106</v>
      </c>
      <c r="L8" s="160" t="s">
        <v>107</v>
      </c>
      <c r="M8" s="160" t="s">
        <v>108</v>
      </c>
      <c r="N8" s="160"/>
      <c r="O8" s="160" t="s">
        <v>109</v>
      </c>
      <c r="P8" s="160"/>
      <c r="Q8" s="161"/>
      <c r="R8" s="11">
        <f>IF('Beneficiaries (8)'!$P$30&gt;0,1,"")</f>
        <v>1</v>
      </c>
    </row>
    <row r="9">
      <c r="A9" s="144" t="s"/>
      <c r="B9" s="162" t="s">
        <v>110</v>
      </c>
      <c r="C9" s="162" t="s">
        <v>111</v>
      </c>
      <c r="D9" s="162" t="s">
        <v>112</v>
      </c>
      <c r="E9" s="162" t="s">
        <v>113</v>
      </c>
      <c r="F9" s="163" t="s">
        <v>114</v>
      </c>
      <c r="G9" s="163" t="s">
        <v>115</v>
      </c>
      <c r="H9" s="163" t="s">
        <v>116</v>
      </c>
      <c r="I9" s="163" t="s">
        <v>117</v>
      </c>
      <c r="J9" s="163" t="s">
        <v>118</v>
      </c>
      <c r="K9" s="163" t="s">
        <v>119</v>
      </c>
      <c r="L9" s="163" t="s">
        <v>120</v>
      </c>
      <c r="M9" s="163" t="s">
        <v>121</v>
      </c>
      <c r="N9" s="163" t="s">
        <v>122</v>
      </c>
      <c r="O9" s="163" t="s">
        <v>123</v>
      </c>
      <c r="P9" s="163" t="s">
        <v>124</v>
      </c>
      <c r="Q9" s="164"/>
      <c r="R9" s="11">
        <f>IF('Beneficiaries (9)'!$P$30&gt;0,1,"")</f>
        <v>1</v>
      </c>
    </row>
    <row r="10">
      <c r="A10" s="144" t="str">
        <f>ID_Valid(E10)</f>
      </c>
      <c r="B10" s="165">
        <v>1</v>
      </c>
      <c r="C10" s="166" t="str">
        <f>IFERROR(INDEX(Logs!$B$2:$B$500,MATCH(Beneficiaries!$B10,Logs!$A$2:$A$500,0)),"")</f>
        <v>Edith</v>
      </c>
      <c r="D10" s="166" t="str">
        <f>IFERROR(INDEX(Logs!$C$2:$C$500,MATCH(Beneficiaries!$B10,Logs!$A$2:$A$500,0)),"")</f>
        <v>Losper</v>
      </c>
      <c r="E10" s="167" t="str">
        <f>IFERROR(INDEX(Logs!$D$2:$D$500,MATCH(Beneficiaries!$B10,Logs!$A$2:$A$500,0)),"")</f>
        <v>6104090199088</v>
      </c>
      <c r="F10" s="168" t="s">
        <v>125</v>
      </c>
      <c r="G10" s="165" t="str">
        <f>TheGender(E10)</f>
        <v>F</v>
      </c>
      <c r="H10" s="165" t="s">
        <v>125</v>
      </c>
      <c r="I10" s="169" t="s">
        <v>126</v>
      </c>
      <c r="J10" s="170" t="str">
        <f>IFERROR(INDEX(Logs!$E$2:$E$500,MATCH(Beneficiaries!$B10,Logs!$A$2:$A$500,0)),"")</f>
        <v>01/08/2021</v>
      </c>
      <c r="K10" s="170" t="str">
        <f>IFERROR(INDEX(Logs!$F$2:$F$500,MATCH(Beneficiaries!$B10,Logs!$A$2:$A$500,0)),"")</f>
        <v>30/09/2023</v>
      </c>
      <c r="L10" s="165">
        <f>IFERROR(INDEX(Logs!$G$2:$G$500,MATCH(Beneficiaries!$B10,Logs!$A$2:$A$500,0)),0)</f>
        <v>16</v>
      </c>
      <c r="M10" s="165">
        <v>0</v>
      </c>
      <c r="N10" s="165">
        <f>M10+L10</f>
        <v>16</v>
      </c>
      <c r="O10" s="171">
        <f>IFERROR(INDEX(Logs!$H$2:$H$500,MATCH(Beneficiaries!$B10,Logs!$A$2:$A$500,0)),)</f>
        <v>204.16</v>
      </c>
      <c r="P10" s="172">
        <f>IFERROR(N10*O10,0)</f>
        <v>3266.56</v>
      </c>
      <c r="Q10" s="173"/>
      <c r="R10" s="11">
        <f>IF('Beneficiaries (10)'!$P$30&gt;0,1,"")</f>
        <v>1</v>
      </c>
    </row>
    <row r="11">
      <c r="A11" s="144" t="str">
        <f>ID_Valid(E11)</f>
      </c>
      <c r="B11" s="165">
        <v>2</v>
      </c>
      <c r="C11" s="166" t="str">
        <f>IFERROR(INDEX(Logs!$B$2:$B$500,MATCH(Beneficiaries!$B11,Logs!$A$2:$A$500,0)),"")</f>
        <v>Lorraine</v>
      </c>
      <c r="D11" s="166" t="str">
        <f>IFERROR(INDEX(Logs!$C$2:$C$500,MATCH(Beneficiaries!$B11,Logs!$A$2:$A$500,0)),"")</f>
        <v>George</v>
      </c>
      <c r="E11" s="167" t="str">
        <f>IFERROR(INDEX(Logs!$D$2:$D$500,MATCH(Beneficiaries!$B11,Logs!$A$2:$A$500,0)),"")</f>
        <v>6208140257083</v>
      </c>
      <c r="F11" s="168" t="s">
        <v>125</v>
      </c>
      <c r="G11" s="165" t="str">
        <f>TheGender(E11)</f>
        <v>F</v>
      </c>
      <c r="H11" s="165" t="s">
        <v>125</v>
      </c>
      <c r="I11" s="165" t="s">
        <v>126</v>
      </c>
      <c r="J11" s="165" t="str">
        <f>IFERROR(INDEX(Logs!$E$2:$E$500,MATCH(Beneficiaries!$B11,Logs!$A$2:$A$500,0)),"")</f>
        <v>01/08/2021</v>
      </c>
      <c r="K11" s="165" t="str">
        <f>IFERROR(INDEX(Logs!$F$2:$F$500,MATCH(Beneficiaries!$B11,Logs!$A$2:$A$500,0)),"")</f>
        <v>30/09/2023</v>
      </c>
      <c r="L11" s="165">
        <f>IFERROR(INDEX(Logs!$G$2:$G$500,MATCH(Beneficiaries!$B11,Logs!$A$2:$A$500,0)),0)</f>
        <v>16</v>
      </c>
      <c r="M11" s="165">
        <v>0</v>
      </c>
      <c r="N11" s="165">
        <f>L11+M11</f>
        <v>16</v>
      </c>
      <c r="O11" s="171">
        <f>IFERROR(INDEX(Logs!$H$2:$H$500,MATCH(Beneficiaries!$B11,Logs!$A$2:$A$500,0)),)</f>
        <v>204.16</v>
      </c>
      <c r="P11" s="172">
        <f>IFERROR(N11*O11,0)</f>
        <v>3266.56</v>
      </c>
      <c r="Q11" s="173"/>
      <c r="R11" s="11">
        <f>IF('Beneficiaries (11)'!$P$30&gt;0,1,"")</f>
        <v>1</v>
      </c>
    </row>
    <row r="12">
      <c r="A12" s="144" t="str">
        <f>ID_Valid(E12)</f>
      </c>
      <c r="B12" s="165">
        <v>3</v>
      </c>
      <c r="C12" s="166" t="str">
        <f>IFERROR(INDEX(Logs!$B$2:$B$500,MATCH(Beneficiaries!$B12,Logs!$A$2:$A$500,0)),"")</f>
        <v>Lerina</v>
      </c>
      <c r="D12" s="166" t="str">
        <f>IFERROR(INDEX(Logs!$C$2:$C$500,MATCH(Beneficiaries!$B12,Logs!$A$2:$A$500,0)),"")</f>
        <v>Blaauw</v>
      </c>
      <c r="E12" s="167" t="str">
        <f>IFERROR(INDEX(Logs!$D$2:$D$500,MATCH(Beneficiaries!$B12,Logs!$A$2:$A$500,0)),"")</f>
        <v>7609200217082</v>
      </c>
      <c r="F12" s="168" t="s">
        <v>125</v>
      </c>
      <c r="G12" s="165" t="str">
        <f>TheGender(E12)</f>
        <v>F</v>
      </c>
      <c r="H12" s="165" t="s">
        <v>125</v>
      </c>
      <c r="I12" s="165" t="s">
        <v>126</v>
      </c>
      <c r="J12" s="165" t="str">
        <f>IFERROR(INDEX(Logs!$E$2:$E$500,MATCH(Beneficiaries!$B12,Logs!$A$2:$A$500,0)),"")</f>
        <v>01/08/2021</v>
      </c>
      <c r="K12" s="165" t="str">
        <f>IFERROR(INDEX(Logs!$F$2:$F$500,MATCH(Beneficiaries!$B12,Logs!$A$2:$A$500,0)),"")</f>
        <v>30/09/2023</v>
      </c>
      <c r="L12" s="165">
        <f>IFERROR(INDEX(Logs!$G$2:$G$500,MATCH(Beneficiaries!$B12,Logs!$A$2:$A$500,0)),0)</f>
        <v>16</v>
      </c>
      <c r="M12" s="165">
        <v>0</v>
      </c>
      <c r="N12" s="165">
        <f>L12+M12</f>
        <v>16</v>
      </c>
      <c r="O12" s="171">
        <f>IFERROR(INDEX(Logs!$H$2:$H$500,MATCH(Beneficiaries!$B12,Logs!$A$2:$A$500,0)),)</f>
        <v>204.16</v>
      </c>
      <c r="P12" s="172">
        <f>IFERROR(N12*O12,0)</f>
        <v>3266.56</v>
      </c>
      <c r="Q12" s="173"/>
      <c r="R12" s="11">
        <f>IF('Beneficiaries (12)'!$P$30&gt;0,1,"")</f>
        <v>1</v>
      </c>
    </row>
    <row r="13">
      <c r="A13" s="144" t="str">
        <f>ID_Valid(E13)</f>
      </c>
      <c r="B13" s="165">
        <v>4</v>
      </c>
      <c r="C13" s="166" t="str">
        <f>IFERROR(INDEX(Logs!$B$2:$B$500,MATCH(Beneficiaries!$B13,Logs!$A$2:$A$500,0)),"")</f>
        <v>Deborah</v>
      </c>
      <c r="D13" s="166" t="str">
        <f>IFERROR(INDEX(Logs!$C$2:$C$500,MATCH(Beneficiaries!$B13,Logs!$A$2:$A$500,0)),"")</f>
        <v>Losper</v>
      </c>
      <c r="E13" s="167" t="str">
        <f>IFERROR(INDEX(Logs!$D$2:$D$500,MATCH(Beneficiaries!$B13,Logs!$A$2:$A$500,0)),"")</f>
        <v>7303240246083</v>
      </c>
      <c r="F13" s="168" t="s">
        <v>125</v>
      </c>
      <c r="G13" s="165" t="str">
        <f>TheGender(E13)</f>
        <v>F</v>
      </c>
      <c r="H13" s="165" t="s">
        <v>125</v>
      </c>
      <c r="I13" s="165" t="s">
        <v>126</v>
      </c>
      <c r="J13" s="165" t="str">
        <f>IFERROR(INDEX(Logs!$E$2:$E$500,MATCH(Beneficiaries!$B13,Logs!$A$2:$A$500,0)),"")</f>
        <v>01/08/2021</v>
      </c>
      <c r="K13" s="165" t="str">
        <f>IFERROR(INDEX(Logs!$F$2:$F$500,MATCH(Beneficiaries!$B13,Logs!$A$2:$A$500,0)),"")</f>
        <v>30/09/2023</v>
      </c>
      <c r="L13" s="165">
        <f>IFERROR(INDEX(Logs!$G$2:$G$500,MATCH(Beneficiaries!$B13,Logs!$A$2:$A$500,0)),0)</f>
        <v>16</v>
      </c>
      <c r="M13" s="165">
        <v>0</v>
      </c>
      <c r="N13" s="165">
        <f>L13+M13</f>
        <v>16</v>
      </c>
      <c r="O13" s="171">
        <f>IFERROR(INDEX(Logs!$H$2:$H$500,MATCH(Beneficiaries!$B13,Logs!$A$2:$A$500,0)),)</f>
        <v>204.16</v>
      </c>
      <c r="P13" s="172">
        <f>IFERROR(N13*O13,0)</f>
        <v>3266.56</v>
      </c>
      <c r="Q13" s="173"/>
      <c r="R13" s="11">
        <f>IF('Beneficiaries (13)'!$P$30&gt;0,1,"")</f>
        <v>1</v>
      </c>
    </row>
    <row r="14">
      <c r="A14" s="144" t="str">
        <f>ID_Valid(E14)</f>
      </c>
      <c r="B14" s="165">
        <v>5</v>
      </c>
      <c r="C14" s="166" t="str">
        <f>IFERROR(INDEX(Logs!$B$2:$B$500,MATCH(Beneficiaries!$B14,Logs!$A$2:$A$500,0)),"")</f>
        <v>Camerlita</v>
      </c>
      <c r="D14" s="166" t="str">
        <f>IFERROR(INDEX(Logs!$C$2:$C$500,MATCH(Beneficiaries!$B14,Logs!$A$2:$A$500,0)),"")</f>
        <v>Koks</v>
      </c>
      <c r="E14" s="167" t="str">
        <f>IFERROR(INDEX(Logs!$D$2:$D$500,MATCH(Beneficiaries!$B14,Logs!$A$2:$A$500,0)),"")</f>
        <v>9505170179088</v>
      </c>
      <c r="F14" s="168" t="s">
        <v>125</v>
      </c>
      <c r="G14" s="165" t="str">
        <f>TheGender(E14)</f>
        <v>F</v>
      </c>
      <c r="H14" s="165" t="s">
        <v>125</v>
      </c>
      <c r="I14" s="165" t="s">
        <v>126</v>
      </c>
      <c r="J14" s="165" t="str">
        <f>IFERROR(INDEX(Logs!$E$2:$E$500,MATCH(Beneficiaries!$B14,Logs!$A$2:$A$500,0)),"")</f>
        <v>01/08/2021</v>
      </c>
      <c r="K14" s="165" t="str">
        <f>IFERROR(INDEX(Logs!$F$2:$F$500,MATCH(Beneficiaries!$B14,Logs!$A$2:$A$500,0)),"")</f>
        <v>30/09/2023</v>
      </c>
      <c r="L14" s="165">
        <f>IFERROR(INDEX(Logs!$G$2:$G$500,MATCH(Beneficiaries!$B14,Logs!$A$2:$A$500,0)),0)</f>
        <v>16</v>
      </c>
      <c r="M14" s="165">
        <v>0</v>
      </c>
      <c r="N14" s="165">
        <f>L14+M14</f>
        <v>16</v>
      </c>
      <c r="O14" s="171">
        <f>IFERROR(INDEX(Logs!$H$2:$H$500,MATCH(Beneficiaries!$B14,Logs!$A$2:$A$500,0)),)</f>
        <v>204.16</v>
      </c>
      <c r="P14" s="172">
        <f>IFERROR(N14*O14,0)</f>
        <v>3266.56</v>
      </c>
      <c r="Q14" s="173"/>
      <c r="R14" s="11">
        <f>IF('Beneficiaries (14)'!$P$30&gt;0,1,"")</f>
        <v>1</v>
      </c>
    </row>
    <row r="15">
      <c r="A15" s="144" t="str">
        <f>ID_Valid(E15)</f>
      </c>
      <c r="B15" s="165">
        <v>6</v>
      </c>
      <c r="C15" s="166" t="str">
        <f>IFERROR(INDEX(Logs!$B$2:$B$500,MATCH(Beneficiaries!$B15,Logs!$A$2:$A$500,0)),"")</f>
        <v>Zakhele</v>
      </c>
      <c r="D15" s="166" t="str">
        <f>IFERROR(INDEX(Logs!$C$2:$C$500,MATCH(Beneficiaries!$B15,Logs!$A$2:$A$500,0)),"")</f>
        <v>Mankayi</v>
      </c>
      <c r="E15" s="167" t="str">
        <f>IFERROR(INDEX(Logs!$D$2:$D$500,MATCH(Beneficiaries!$B15,Logs!$A$2:$A$500,0)),"")</f>
        <v>7202135853088</v>
      </c>
      <c r="F15" s="168" t="s">
        <v>125</v>
      </c>
      <c r="G15" s="165" t="str">
        <f>TheGender(E15)</f>
        <v>M</v>
      </c>
      <c r="H15" s="165" t="s">
        <v>125</v>
      </c>
      <c r="I15" s="165" t="s">
        <v>126</v>
      </c>
      <c r="J15" s="165" t="str">
        <f>IFERROR(INDEX(Logs!$E$2:$E$500,MATCH(Beneficiaries!$B15,Logs!$A$2:$A$500,0)),"")</f>
        <v>01/08/2021</v>
      </c>
      <c r="K15" s="165" t="str">
        <f>IFERROR(INDEX(Logs!$F$2:$F$500,MATCH(Beneficiaries!$B15,Logs!$A$2:$A$500,0)),"")</f>
        <v>30/09/2023</v>
      </c>
      <c r="L15" s="165">
        <f>IFERROR(INDEX(Logs!$G$2:$G$500,MATCH(Beneficiaries!$B15,Logs!$A$2:$A$500,0)),0)</f>
        <v>17</v>
      </c>
      <c r="M15" s="165">
        <v>0</v>
      </c>
      <c r="N15" s="165">
        <f>L15+M15</f>
        <v>17</v>
      </c>
      <c r="O15" s="171">
        <f>IFERROR(INDEX(Logs!$H$2:$H$500,MATCH(Beneficiaries!$B15,Logs!$A$2:$A$500,0)),)</f>
        <v>204.16</v>
      </c>
      <c r="P15" s="172">
        <f>IFERROR(N15*O15,0)</f>
        <v>3470.72</v>
      </c>
      <c r="Q15" s="173"/>
      <c r="R15" s="145" t="s"/>
    </row>
    <row r="16">
      <c r="A16" s="144" t="str">
        <f>ID_Valid(E16)</f>
      </c>
      <c r="B16" s="165">
        <v>7</v>
      </c>
      <c r="C16" s="166" t="str">
        <f>IFERROR(INDEX(Logs!$B$2:$B$500,MATCH(Beneficiaries!$B16,Logs!$A$2:$A$500,0)),"")</f>
        <v>Mzukisi</v>
      </c>
      <c r="D16" s="166" t="str">
        <f>IFERROR(INDEX(Logs!$C$2:$C$500,MATCH(Beneficiaries!$B16,Logs!$A$2:$A$500,0)),"")</f>
        <v>Mntuwentla</v>
      </c>
      <c r="E16" s="167" t="str">
        <f>IFERROR(INDEX(Logs!$D$2:$D$500,MATCH(Beneficiaries!$B16,Logs!$A$2:$A$500,0)),"")</f>
        <v>8201056452085</v>
      </c>
      <c r="F16" s="168" t="s">
        <v>125</v>
      </c>
      <c r="G16" s="165" t="str">
        <f>TheGender(E16)</f>
        <v>M</v>
      </c>
      <c r="H16" s="165" t="s">
        <v>125</v>
      </c>
      <c r="I16" s="165" t="s">
        <v>126</v>
      </c>
      <c r="J16" s="165" t="str">
        <f>IFERROR(INDEX(Logs!$E$2:$E$500,MATCH(Beneficiaries!$B16,Logs!$A$2:$A$500,0)),"")</f>
        <v>01/08/2021</v>
      </c>
      <c r="K16" s="165" t="str">
        <f>IFERROR(INDEX(Logs!$F$2:$F$500,MATCH(Beneficiaries!$B16,Logs!$A$2:$A$500,0)),"")</f>
        <v>30/09/2023</v>
      </c>
      <c r="L16" s="165">
        <f>IFERROR(INDEX(Logs!$G$2:$G$500,MATCH(Beneficiaries!$B16,Logs!$A$2:$A$500,0)),0)</f>
        <v>17</v>
      </c>
      <c r="M16" s="165">
        <v>0</v>
      </c>
      <c r="N16" s="165">
        <f>L16+M16</f>
        <v>17</v>
      </c>
      <c r="O16" s="171">
        <f>IFERROR(INDEX(Logs!$H$2:$H$500,MATCH(Beneficiaries!$B16,Logs!$A$2:$A$500,0)),)</f>
        <v>204.16</v>
      </c>
      <c r="P16" s="172">
        <f>IFERROR(N16*O16,0)</f>
        <v>3470.72</v>
      </c>
      <c r="Q16" s="173"/>
      <c r="R16" s="145" t="s"/>
    </row>
    <row r="17">
      <c r="A17" s="144" t="str">
        <f>ID_Valid(E17)</f>
      </c>
      <c r="B17" s="165">
        <v>8</v>
      </c>
      <c r="C17" s="166" t="str">
        <f>IFERROR(INDEX(Logs!$B$2:$B$500,MATCH(Beneficiaries!$B17,Logs!$A$2:$A$500,0)),"")</f>
        <v>Vuyiswa</v>
      </c>
      <c r="D17" s="166" t="str">
        <f>IFERROR(INDEX(Logs!$C$2:$C$500,MATCH(Beneficiaries!$B17,Logs!$A$2:$A$500,0)),"")</f>
        <v>Vellem</v>
      </c>
      <c r="E17" s="167" t="str">
        <f>IFERROR(INDEX(Logs!$D$2:$D$500,MATCH(Beneficiaries!$B17,Logs!$A$2:$A$500,0)),"")</f>
        <v>7511110728085</v>
      </c>
      <c r="F17" s="168" t="s">
        <v>125</v>
      </c>
      <c r="G17" s="165" t="str">
        <f>TheGender(E17)</f>
        <v>F</v>
      </c>
      <c r="H17" s="165" t="s">
        <v>125</v>
      </c>
      <c r="I17" s="165" t="s">
        <v>126</v>
      </c>
      <c r="J17" s="165" t="str">
        <f>IFERROR(INDEX(Logs!$E$2:$E$500,MATCH(Beneficiaries!$B17,Logs!$A$2:$A$500,0)),"")</f>
        <v>01/08/2021</v>
      </c>
      <c r="K17" s="165" t="str">
        <f>IFERROR(INDEX(Logs!$F$2:$F$500,MATCH(Beneficiaries!$B17,Logs!$A$2:$A$500,0)),"")</f>
        <v>31/10/2023</v>
      </c>
      <c r="L17" s="165">
        <f>IFERROR(INDEX(Logs!$G$2:$G$500,MATCH(Beneficiaries!$B17,Logs!$A$2:$A$500,0)),0)</f>
        <v>16</v>
      </c>
      <c r="M17" s="165">
        <v>0</v>
      </c>
      <c r="N17" s="165">
        <f>L17+M17</f>
        <v>16</v>
      </c>
      <c r="O17" s="171">
        <f>IFERROR(INDEX(Logs!$H$2:$H$500,MATCH(Beneficiaries!$B17,Logs!$A$2:$A$500,0)),)</f>
        <v>218.08</v>
      </c>
      <c r="P17" s="172">
        <f>IFERROR(N17*O17,0)</f>
        <v>3489.28</v>
      </c>
      <c r="Q17" s="173"/>
    </row>
    <row r="18">
      <c r="A18" s="144" t="str">
        <f>ID_Valid(E18)</f>
      </c>
      <c r="B18" s="165">
        <v>9</v>
      </c>
      <c r="C18" s="166" t="str">
        <f>IFERROR(INDEX(Logs!$B$2:$B$500,MATCH(Beneficiaries!$B18,Logs!$A$2:$A$500,0)),"")</f>
        <v>Jongikhaya</v>
      </c>
      <c r="D18" s="166" t="str">
        <f>IFERROR(INDEX(Logs!$C$2:$C$500,MATCH(Beneficiaries!$B18,Logs!$A$2:$A$500,0)),"")</f>
        <v>Bolish</v>
      </c>
      <c r="E18" s="167" t="str">
        <f>IFERROR(INDEX(Logs!$D$2:$D$500,MATCH(Beneficiaries!$B18,Logs!$A$2:$A$500,0)),"")</f>
        <v>6108215734083</v>
      </c>
      <c r="F18" s="168" t="s">
        <v>125</v>
      </c>
      <c r="G18" s="165" t="str">
        <f>TheGender(E18)</f>
        <v>M</v>
      </c>
      <c r="H18" s="165" t="s">
        <v>125</v>
      </c>
      <c r="I18" s="165" t="s">
        <v>126</v>
      </c>
      <c r="J18" s="165" t="str">
        <f>IFERROR(INDEX(Logs!$E$2:$E$500,MATCH(Beneficiaries!$B18,Logs!$A$2:$A$500,0)),"")</f>
        <v>01/08/2021</v>
      </c>
      <c r="K18" s="165" t="str">
        <f>IFERROR(INDEX(Logs!$F$2:$F$500,MATCH(Beneficiaries!$B18,Logs!$A$2:$A$500,0)),"")</f>
        <v>31/10/2023</v>
      </c>
      <c r="L18" s="165">
        <f>IFERROR(INDEX(Logs!$G$2:$G$500,MATCH(Beneficiaries!$B18,Logs!$A$2:$A$500,0)),0)</f>
        <v>16</v>
      </c>
      <c r="M18" s="165">
        <v>0</v>
      </c>
      <c r="N18" s="165">
        <f>L18+M18</f>
        <v>16</v>
      </c>
      <c r="O18" s="171">
        <f>IFERROR(INDEX(Logs!$H$2:$H$500,MATCH(Beneficiaries!$B18,Logs!$A$2:$A$500,0)),)</f>
        <v>218.08</v>
      </c>
      <c r="P18" s="172">
        <f>IFERROR(N18*O18,0)</f>
        <v>3489.28</v>
      </c>
      <c r="Q18" s="173"/>
    </row>
    <row r="19">
      <c r="A19" s="144" t="str">
        <f>ID_Valid(E19)</f>
      </c>
      <c r="B19" s="165">
        <v>10</v>
      </c>
      <c r="C19" s="166" t="str">
        <f>IFERROR(INDEX(Logs!$B$2:$B$500,MATCH(Beneficiaries!$B19,Logs!$A$2:$A$500,0)),"")</f>
        <v>Zukolwesizwe</v>
      </c>
      <c r="D19" s="166" t="str">
        <f>IFERROR(INDEX(Logs!$C$2:$C$500,MATCH(Beneficiaries!$B19,Logs!$A$2:$A$500,0)),"")</f>
        <v>Mngxe</v>
      </c>
      <c r="E19" s="167" t="str">
        <f>IFERROR(INDEX(Logs!$D$2:$D$500,MATCH(Beneficiaries!$B19,Logs!$A$2:$A$500,0)),"")</f>
        <v>8402095927083</v>
      </c>
      <c r="F19" s="168" t="s">
        <v>125</v>
      </c>
      <c r="G19" s="165" t="str">
        <f>TheGender(E19)</f>
        <v>M</v>
      </c>
      <c r="H19" s="165" t="s">
        <v>125</v>
      </c>
      <c r="I19" s="165" t="s">
        <v>126</v>
      </c>
      <c r="J19" s="165" t="str">
        <f>IFERROR(INDEX(Logs!$E$2:$E$500,MATCH(Beneficiaries!$B19,Logs!$A$2:$A$500,0)),"")</f>
        <v>01/08/2021</v>
      </c>
      <c r="K19" s="165" t="str">
        <f>IFERROR(INDEX(Logs!$F$2:$F$500,MATCH(Beneficiaries!$B19,Logs!$A$2:$A$500,0)),"")</f>
        <v>31/07/2024</v>
      </c>
      <c r="L19" s="165">
        <f>IFERROR(INDEX(Logs!$G$2:$G$500,MATCH(Beneficiaries!$B19,Logs!$A$2:$A$500,0)),0)</f>
        <v>20</v>
      </c>
      <c r="M19" s="165">
        <v>0</v>
      </c>
      <c r="N19" s="165">
        <f>L19+M19</f>
        <v>20</v>
      </c>
      <c r="O19" s="171">
        <f>IFERROR(INDEX(Logs!$H$2:$H$500,MATCH(Beneficiaries!$B19,Logs!$A$2:$A$500,0)),)</f>
        <v>0</v>
      </c>
      <c r="P19" s="172">
        <f>IFERROR(N19*O19,0)</f>
        <v>0</v>
      </c>
      <c r="Q19" s="173"/>
    </row>
    <row r="20">
      <c r="A20" s="144" t="str">
        <f>ID_Valid(E20)</f>
      </c>
      <c r="B20" s="165">
        <v>11</v>
      </c>
      <c r="C20" s="166" t="str">
        <f>IFERROR(INDEX(Logs!$B$2:$B$500,MATCH(Beneficiaries!$B20,Logs!$A$2:$A$500,0)),"")</f>
        <v>Vumile</v>
      </c>
      <c r="D20" s="166" t="str">
        <f>IFERROR(INDEX(Logs!$C$2:$C$500,MATCH(Beneficiaries!$B20,Logs!$A$2:$A$500,0)),"")</f>
        <v>Ntamo</v>
      </c>
      <c r="E20" s="167" t="str">
        <f>IFERROR(INDEX(Logs!$D$2:$D$500,MATCH(Beneficiaries!$B20,Logs!$A$2:$A$500,0)),"")</f>
        <v>7812285675089</v>
      </c>
      <c r="F20" s="168" t="s">
        <v>125</v>
      </c>
      <c r="G20" s="165" t="str">
        <f>TheGender(E20)</f>
        <v>M</v>
      </c>
      <c r="H20" s="165" t="s">
        <v>125</v>
      </c>
      <c r="I20" s="165" t="s">
        <v>126</v>
      </c>
      <c r="J20" s="165" t="str">
        <f>IFERROR(INDEX(Logs!$E$2:$E$500,MATCH(Beneficiaries!$B20,Logs!$A$2:$A$500,0)),"")</f>
        <v>01/08/2021</v>
      </c>
      <c r="K20" s="165" t="str">
        <f>IFERROR(INDEX(Logs!$F$2:$F$500,MATCH(Beneficiaries!$B20,Logs!$A$2:$A$500,0)),"")</f>
        <v>31/07/2024</v>
      </c>
      <c r="L20" s="165">
        <f>IFERROR(INDEX(Logs!$G$2:$G$500,MATCH(Beneficiaries!$B20,Logs!$A$2:$A$500,0)),0)</f>
        <v>20</v>
      </c>
      <c r="M20" s="165">
        <v>0</v>
      </c>
      <c r="N20" s="165">
        <f>L20+M20</f>
        <v>20</v>
      </c>
      <c r="O20" s="171">
        <f>IFERROR(INDEX(Logs!$H$2:$H$500,MATCH(Beneficiaries!$B20,Logs!$A$2:$A$500,0)),)</f>
        <v>0</v>
      </c>
      <c r="P20" s="172">
        <f>IFERROR(N20*O20,0)</f>
        <v>0</v>
      </c>
      <c r="Q20" s="173"/>
    </row>
    <row r="21">
      <c r="A21" s="144" t="str">
        <f>ID_Valid(E21)</f>
      </c>
      <c r="B21" s="165">
        <v>12</v>
      </c>
      <c r="C21" s="166" t="str">
        <f>IFERROR(INDEX(Logs!$B$2:$B$500,MATCH(Beneficiaries!$B21,Logs!$A$2:$A$500,0)),"")</f>
        <v>Musa</v>
      </c>
      <c r="D21" s="166" t="str">
        <f>IFERROR(INDEX(Logs!$C$2:$C$500,MATCH(Beneficiaries!$B21,Logs!$A$2:$A$500,0)),"")</f>
        <v>Nompumza</v>
      </c>
      <c r="E21" s="167" t="str">
        <f>IFERROR(INDEX(Logs!$D$2:$D$500,MATCH(Beneficiaries!$B21,Logs!$A$2:$A$500,0)),"")</f>
        <v>9306246140083</v>
      </c>
      <c r="F21" s="168" t="s">
        <v>125</v>
      </c>
      <c r="G21" s="165" t="str">
        <f>TheGender(E21)</f>
        <v>M</v>
      </c>
      <c r="H21" s="165" t="s">
        <v>125</v>
      </c>
      <c r="I21" s="165" t="s">
        <v>126</v>
      </c>
      <c r="J21" s="165" t="str">
        <f>IFERROR(INDEX(Logs!$E$2:$E$500,MATCH(Beneficiaries!$B21,Logs!$A$2:$A$500,0)),"")</f>
        <v>01/02/2022</v>
      </c>
      <c r="K21" s="165" t="str">
        <f>IFERROR(INDEX(Logs!$F$2:$F$500,MATCH(Beneficiaries!$B21,Logs!$A$2:$A$500,0)),"")</f>
        <v>31/07/2024</v>
      </c>
      <c r="L21" s="165">
        <f>IFERROR(INDEX(Logs!$G$2:$G$500,MATCH(Beneficiaries!$B21,Logs!$A$2:$A$500,0)),0)</f>
        <v>20</v>
      </c>
      <c r="M21" s="165">
        <v>0</v>
      </c>
      <c r="N21" s="165">
        <f>L21+M21</f>
        <v>20</v>
      </c>
      <c r="O21" s="171">
        <f>IFERROR(INDEX(Logs!$H$2:$H$500,MATCH(Beneficiaries!$B21,Logs!$A$2:$A$500,0)),)</f>
        <v>0</v>
      </c>
      <c r="P21" s="172">
        <f>IFERROR(N21*O21,0)</f>
        <v>0</v>
      </c>
      <c r="Q21" s="173"/>
    </row>
    <row r="22">
      <c r="A22" s="144" t="str">
        <f>ID_Valid(E22)</f>
      </c>
      <c r="B22" s="165">
        <v>13</v>
      </c>
      <c r="C22" s="174" t="str">
        <f>IFERROR(INDEX(Logs!$B$2:$B$500,MATCH(Beneficiaries!$B22,Logs!$A$2:$A$500,0)),"")</f>
        <v>Noluvo</v>
      </c>
      <c r="D22" s="166" t="str">
        <f>IFERROR(INDEX(Logs!$C$2:$C$500,MATCH(Beneficiaries!$B22,Logs!$A$2:$A$500,0)),"")</f>
        <v>Sofute</v>
      </c>
      <c r="E22" s="167" t="str">
        <f>IFERROR(INDEX(Logs!$D$2:$D$500,MATCH(Beneficiaries!$B22,Logs!$A$2:$A$500,0)),"")</f>
        <v>8704080957086</v>
      </c>
      <c r="F22" s="168" t="s">
        <v>125</v>
      </c>
      <c r="G22" s="165" t="str">
        <f>TheGender(E22)</f>
        <v>F</v>
      </c>
      <c r="H22" s="165" t="s">
        <v>125</v>
      </c>
      <c r="I22" s="165" t="s">
        <v>126</v>
      </c>
      <c r="J22" s="165" t="str">
        <f>IFERROR(INDEX(Logs!$E$2:$E$500,MATCH(Beneficiaries!$B22,Logs!$A$2:$A$500,0)),"")</f>
        <v>03/09/2021</v>
      </c>
      <c r="K22" s="165" t="str">
        <f>IFERROR(INDEX(Logs!$F$2:$F$500,MATCH(Beneficiaries!$B22,Logs!$A$2:$A$500,0)),"")</f>
        <v>30/09/2023</v>
      </c>
      <c r="L22" s="165">
        <f>IFERROR(INDEX(Logs!$G$2:$G$500,MATCH(Beneficiaries!$B22,Logs!$A$2:$A$500,0)),0)</f>
        <v>26</v>
      </c>
      <c r="M22" s="165">
        <v>0</v>
      </c>
      <c r="N22" s="165">
        <f>L22+M22</f>
        <v>26</v>
      </c>
      <c r="O22" s="171">
        <f>IFERROR(INDEX(Logs!$H$2:$H$500,MATCH(Beneficiaries!$B22,Logs!$A$2:$A$500,0)),)</f>
        <v>204.16</v>
      </c>
      <c r="P22" s="172">
        <f>IFERROR(N22*O22,0)</f>
        <v>5308.16</v>
      </c>
      <c r="Q22" s="173"/>
    </row>
    <row r="23">
      <c r="A23" s="144" t="str">
        <f>ID_Valid(E23)</f>
      </c>
      <c r="B23" s="165">
        <v>14</v>
      </c>
      <c r="C23" s="174" t="str">
        <f>IFERROR(INDEX(Logs!$B$2:$B$500,MATCH(Beneficiaries!$B23,Logs!$A$2:$A$500,0)),"")</f>
        <v>Phiwamandla</v>
      </c>
      <c r="D23" s="166" t="str">
        <f>IFERROR(INDEX(Logs!$C$2:$C$500,MATCH(Beneficiaries!$B23,Logs!$A$2:$A$500,0)),"")</f>
        <v>Colidiza</v>
      </c>
      <c r="E23" s="167" t="str">
        <f>IFERROR(INDEX(Logs!$D$2:$D$500,MATCH(Beneficiaries!$B23,Logs!$A$2:$A$500,0)),"")</f>
        <v>9309086131089</v>
      </c>
      <c r="F23" s="168" t="s">
        <v>125</v>
      </c>
      <c r="G23" s="165" t="str">
        <f>TheGender(E23)</f>
        <v>M</v>
      </c>
      <c r="H23" s="165" t="s">
        <v>125</v>
      </c>
      <c r="I23" s="165" t="s">
        <v>126</v>
      </c>
      <c r="J23" s="165" t="str">
        <f>IFERROR(INDEX(Logs!$E$2:$E$500,MATCH(Beneficiaries!$B23,Logs!$A$2:$A$500,0)),"")</f>
        <v>13/03/0009</v>
      </c>
      <c r="K23" s="165" t="str">
        <f>IFERROR(INDEX(Logs!$F$2:$F$500,MATCH(Beneficiaries!$B23,Logs!$A$2:$A$500,0)),"")</f>
        <v>30/09/2023</v>
      </c>
      <c r="L23" s="165">
        <f>IFERROR(INDEX(Logs!$G$2:$G$500,MATCH(Beneficiaries!$B23,Logs!$A$2:$A$500,0)),0)</f>
        <v>18</v>
      </c>
      <c r="M23" s="165">
        <v>0</v>
      </c>
      <c r="N23" s="165">
        <f>L23+M23</f>
        <v>18</v>
      </c>
      <c r="O23" s="171">
        <f>IFERROR(INDEX(Logs!$H$2:$H$500,MATCH(Beneficiaries!$B23,Logs!$A$2:$A$500,0)),)</f>
        <v>204.16</v>
      </c>
      <c r="P23" s="172">
        <f>IFERROR(N23*O23,0)</f>
        <v>3674.88</v>
      </c>
      <c r="Q23" s="173"/>
    </row>
    <row r="24">
      <c r="A24" s="144" t="str">
        <f>ID_Valid(E24)</f>
      </c>
      <c r="B24" s="165">
        <v>15</v>
      </c>
      <c r="C24" s="174" t="str">
        <f>IFERROR(INDEX(Logs!$B$2:$B$500,MATCH(Beneficiaries!$B24,Logs!$A$2:$A$500,0)),"")</f>
        <v>Zola</v>
      </c>
      <c r="D24" s="166" t="str">
        <f>IFERROR(INDEX(Logs!$C$2:$C$500,MATCH(Beneficiaries!$B24,Logs!$A$2:$A$500,0)),"")</f>
        <v>Fotoyi</v>
      </c>
      <c r="E24" s="167" t="str">
        <f>IFERROR(INDEX(Logs!$D$2:$D$500,MATCH(Beneficiaries!$B24,Logs!$A$2:$A$500,0)),"")</f>
        <v>6406166219082</v>
      </c>
      <c r="F24" s="168" t="s">
        <v>125</v>
      </c>
      <c r="G24" s="165" t="str">
        <f>TheGender(E24)</f>
        <v>M</v>
      </c>
      <c r="H24" s="165" t="s">
        <v>125</v>
      </c>
      <c r="I24" s="165" t="s">
        <v>126</v>
      </c>
      <c r="J24" s="165" t="str">
        <f>IFERROR(INDEX(Logs!$E$2:$E$500,MATCH(Beneficiaries!$B24,Logs!$A$2:$A$500,0)),"")</f>
        <v>03/09/2021</v>
      </c>
      <c r="K24" s="165" t="str">
        <f>IFERROR(INDEX(Logs!$F$2:$F$500,MATCH(Beneficiaries!$B24,Logs!$A$2:$A$500,0)),"")</f>
        <v>30/09/2023</v>
      </c>
      <c r="L24" s="165">
        <f>IFERROR(INDEX(Logs!$G$2:$G$500,MATCH(Beneficiaries!$B24,Logs!$A$2:$A$500,0)),0)</f>
        <v>18</v>
      </c>
      <c r="M24" s="165">
        <v>0</v>
      </c>
      <c r="N24" s="165">
        <f>L24+M24</f>
        <v>18</v>
      </c>
      <c r="O24" s="171">
        <f>IFERROR(INDEX(Logs!$H$2:$H$500,MATCH(Beneficiaries!$B24,Logs!$A$2:$A$500,0)),)</f>
        <v>204.16</v>
      </c>
      <c r="P24" s="172">
        <f>IFERROR(N24*O24,0)</f>
        <v>3674.88</v>
      </c>
      <c r="Q24" s="173"/>
    </row>
    <row r="25">
      <c r="A25" s="144" t="str">
        <f>ID_Valid(E25)</f>
      </c>
      <c r="B25" s="165">
        <v>16</v>
      </c>
      <c r="C25" s="170" t="str">
        <f>IFERROR(INDEX(Logs!$B$2:$B$500,MATCH(Beneficiaries!$B25,Logs!$A$2:$A$500,0)),"")</f>
        <v>Fefekazi</v>
      </c>
      <c r="D25" s="166" t="str">
        <f>IFERROR(INDEX(Logs!$C$2:$C$500,MATCH(Beneficiaries!$B25,Logs!$A$2:$A$500,0)),"")</f>
        <v>Siteto</v>
      </c>
      <c r="E25" s="167" t="str">
        <f>IFERROR(INDEX(Logs!$D$2:$D$500,MATCH(Beneficiaries!$B25,Logs!$A$2:$A$500,0)),"")</f>
        <v>8403241130085</v>
      </c>
      <c r="F25" s="168" t="s">
        <v>125</v>
      </c>
      <c r="G25" s="165" t="str">
        <f>TheGender(E25)</f>
        <v>F</v>
      </c>
      <c r="H25" s="165" t="s">
        <v>125</v>
      </c>
      <c r="I25" s="165" t="s">
        <v>126</v>
      </c>
      <c r="J25" s="165" t="str">
        <f>IFERROR(INDEX(Logs!$E$2:$E$500,MATCH(Beneficiaries!$B25,Logs!$A$2:$A$500,0)),"")</f>
        <v>03/09/2021</v>
      </c>
      <c r="K25" s="165" t="str">
        <f>IFERROR(INDEX(Logs!$F$2:$F$500,MATCH(Beneficiaries!$B25,Logs!$A$2:$A$500,0)),"")</f>
        <v>30/09/2023</v>
      </c>
      <c r="L25" s="165">
        <f>IFERROR(INDEX(Logs!$G$2:$G$500,MATCH(Beneficiaries!$B25,Logs!$A$2:$A$500,0)),0)</f>
        <v>26</v>
      </c>
      <c r="M25" s="165">
        <v>0</v>
      </c>
      <c r="N25" s="165">
        <f>L25+M25</f>
        <v>26</v>
      </c>
      <c r="O25" s="171">
        <f>IFERROR(INDEX(Logs!$H$2:$H$500,MATCH(Beneficiaries!$B25,Logs!$A$2:$A$500,0)),)</f>
        <v>204.16</v>
      </c>
      <c r="P25" s="172">
        <f>IFERROR(N25*O25,0)</f>
        <v>5308.16</v>
      </c>
      <c r="Q25" s="173"/>
    </row>
    <row r="26">
      <c r="A26" s="144" t="str">
        <f>ID_Valid(E26)</f>
      </c>
      <c r="B26" s="165">
        <v>17</v>
      </c>
      <c r="C26" s="170" t="str">
        <f>IFERROR(INDEX(Logs!$B$2:$B$500,MATCH(Beneficiaries!$B26,Logs!$A$2:$A$500,0)),"")</f>
        <v>Lizeka</v>
      </c>
      <c r="D26" s="166" t="str">
        <f>IFERROR(INDEX(Logs!$C$2:$C$500,MATCH(Beneficiaries!$B26,Logs!$A$2:$A$500,0)),"")</f>
        <v>Tasambana</v>
      </c>
      <c r="E26" s="167" t="str">
        <f>IFERROR(INDEX(Logs!$D$2:$D$500,MATCH(Beneficiaries!$B26,Logs!$A$2:$A$500,0)),"")</f>
        <v>8004011141086</v>
      </c>
      <c r="F26" s="168" t="s">
        <v>125</v>
      </c>
      <c r="G26" s="165" t="str">
        <f>TheGender(E26)</f>
        <v>F</v>
      </c>
      <c r="H26" s="165" t="s">
        <v>125</v>
      </c>
      <c r="I26" s="165" t="s">
        <v>126</v>
      </c>
      <c r="J26" s="165" t="str">
        <f>IFERROR(INDEX(Logs!$E$2:$E$500,MATCH(Beneficiaries!$B26,Logs!$A$2:$A$500,0)),"")</f>
        <v>03/09/2021</v>
      </c>
      <c r="K26" s="165" t="str">
        <f>IFERROR(INDEX(Logs!$F$2:$F$500,MATCH(Beneficiaries!$B26,Logs!$A$2:$A$500,0)),"")</f>
        <v>30/09/2023</v>
      </c>
      <c r="L26" s="165">
        <f>IFERROR(INDEX(Logs!$G$2:$G$500,MATCH(Beneficiaries!$B26,Logs!$A$2:$A$500,0)),0)</f>
        <v>26</v>
      </c>
      <c r="M26" s="165">
        <v>0</v>
      </c>
      <c r="N26" s="165">
        <f>L26+M26</f>
        <v>26</v>
      </c>
      <c r="O26" s="171">
        <f>IFERROR(INDEX(Logs!$H$2:$H$500,MATCH(Beneficiaries!$B26,Logs!$A$2:$A$500,0)),)</f>
        <v>218.08</v>
      </c>
      <c r="P26" s="172">
        <f>IFERROR(N26*O26,0)</f>
        <v>5670.08</v>
      </c>
      <c r="Q26" s="173"/>
    </row>
    <row r="27">
      <c r="A27" s="144" t="str">
        <f>ID_Valid(E27)</f>
      </c>
      <c r="B27" s="165">
        <v>18</v>
      </c>
      <c r="C27" s="170" t="str">
        <f>IFERROR(INDEX(Logs!$B$2:$B$500,MATCH(Beneficiaries!$B27,Logs!$A$2:$A$500,0)),"")</f>
        <v>Lindelwa</v>
      </c>
      <c r="D27" s="166" t="str">
        <f>IFERROR(INDEX(Logs!$C$2:$C$500,MATCH(Beneficiaries!$B27,Logs!$A$2:$A$500,0)),"")</f>
        <v>Bushula</v>
      </c>
      <c r="E27" s="167" t="str">
        <f>IFERROR(INDEX(Logs!$D$2:$D$500,MATCH(Beneficiaries!$B27,Logs!$A$2:$A$500,0)),"")</f>
        <v>7506051372083</v>
      </c>
      <c r="F27" s="168" t="s">
        <v>125</v>
      </c>
      <c r="G27" s="165" t="str">
        <f>TheGender(E27)</f>
        <v>F</v>
      </c>
      <c r="H27" s="165" t="s">
        <v>125</v>
      </c>
      <c r="I27" s="165" t="s">
        <v>126</v>
      </c>
      <c r="J27" s="165" t="str">
        <f>IFERROR(INDEX(Logs!$E$2:$E$500,MATCH(Beneficiaries!$B27,Logs!$A$2:$A$500,0)),"")</f>
        <v>03/09/2021</v>
      </c>
      <c r="K27" s="165" t="str">
        <f>IFERROR(INDEX(Logs!$F$2:$F$500,MATCH(Beneficiaries!$B27,Logs!$A$2:$A$500,0)),"")</f>
        <v>30/09/2023</v>
      </c>
      <c r="L27" s="165">
        <f>IFERROR(INDEX(Logs!$G$2:$G$500,MATCH(Beneficiaries!$B27,Logs!$A$2:$A$500,0)),0)</f>
        <v>26</v>
      </c>
      <c r="M27" s="165">
        <v>0</v>
      </c>
      <c r="N27" s="165">
        <f>L27+M27</f>
        <v>26</v>
      </c>
      <c r="O27" s="171">
        <f>IFERROR(INDEX(Logs!$H$2:$H$500,MATCH(Beneficiaries!$B27,Logs!$A$2:$A$500,0)),)</f>
        <v>204.16</v>
      </c>
      <c r="P27" s="172">
        <f>IFERROR(N27*O27,0)</f>
        <v>5308.16</v>
      </c>
      <c r="Q27" s="173"/>
    </row>
    <row r="28">
      <c r="A28" s="144" t="str">
        <f>ID_Valid(E28)</f>
      </c>
      <c r="B28" s="165">
        <v>19</v>
      </c>
      <c r="C28" s="170" t="str">
        <f>IFERROR(INDEX(Logs!$B$2:$B$500,MATCH(Beneficiaries!$B28,Logs!$A$2:$A$500,0)),"")</f>
        <v>Nokubonga</v>
      </c>
      <c r="D28" s="166" t="str">
        <f>IFERROR(INDEX(Logs!$C$2:$C$500,MATCH(Beneficiaries!$B28,Logs!$A$2:$A$500,0)),"")</f>
        <v>Mbekela</v>
      </c>
      <c r="E28" s="167" t="str">
        <f>IFERROR(INDEX(Logs!$D$2:$D$500,MATCH(Beneficiaries!$B28,Logs!$A$2:$A$500,0)),"")</f>
        <v>7703271115083</v>
      </c>
      <c r="F28" s="168" t="s">
        <v>125</v>
      </c>
      <c r="G28" s="165" t="str">
        <f>TheGender(E28)</f>
        <v>F</v>
      </c>
      <c r="H28" s="165" t="s">
        <v>125</v>
      </c>
      <c r="I28" s="165" t="s">
        <v>126</v>
      </c>
      <c r="J28" s="165" t="str">
        <f>IFERROR(INDEX(Logs!$E$2:$E$500,MATCH(Beneficiaries!$B28,Logs!$A$2:$A$500,0)),"")</f>
        <v>03/09/2021</v>
      </c>
      <c r="K28" s="165" t="str">
        <f>IFERROR(INDEX(Logs!$F$2:$F$500,MATCH(Beneficiaries!$B28,Logs!$A$2:$A$500,0)),"")</f>
        <v>30/09/2023</v>
      </c>
      <c r="L28" s="165">
        <f>IFERROR(INDEX(Logs!$G$2:$G$500,MATCH(Beneficiaries!$B28,Logs!$A$2:$A$500,0)),0)</f>
        <v>26</v>
      </c>
      <c r="M28" s="165">
        <v>0</v>
      </c>
      <c r="N28" s="165">
        <f>L28+M28</f>
        <v>26</v>
      </c>
      <c r="O28" s="171">
        <f>IFERROR(INDEX(Logs!$H$2:$H$500,MATCH(Beneficiaries!$B28,Logs!$A$2:$A$500,0)),)</f>
        <v>204.16</v>
      </c>
      <c r="P28" s="172">
        <f>IFERROR(N28*O28,0)</f>
        <v>5308.16</v>
      </c>
      <c r="Q28" s="173"/>
    </row>
    <row r="29">
      <c r="A29" s="144" t="str">
        <f>ID_Valid(E29)</f>
      </c>
      <c r="B29" s="165">
        <v>20</v>
      </c>
      <c r="C29" s="170" t="str">
        <f>IFERROR(INDEX(Logs!$B$2:$B$500,MATCH(Beneficiaries!$B29,Logs!$A$2:$A$500,0)),"")</f>
        <v>Bongisa</v>
      </c>
      <c r="D29" s="170" t="str">
        <f>IFERROR(INDEX(Logs!$C$2:$C$500,MATCH(Beneficiaries!$B29,Logs!$A$2:$A$500,0)),"")</f>
        <v>Kona</v>
      </c>
      <c r="E29" s="167" t="str">
        <f>IFERROR(INDEX(Logs!$D$2:$D$500,MATCH(Beneficiaries!$B29,Logs!$A$2:$A$500,0)),"")</f>
        <v>8309240581089</v>
      </c>
      <c r="F29" s="168" t="s">
        <v>125</v>
      </c>
      <c r="G29" s="165" t="str">
        <f>TheGender(E29)</f>
        <v>F</v>
      </c>
      <c r="H29" s="165" t="s">
        <v>125</v>
      </c>
      <c r="I29" s="165" t="s">
        <v>126</v>
      </c>
      <c r="J29" s="165" t="str">
        <f>IFERROR(INDEX(Logs!$E$2:$E$500,MATCH(Beneficiaries!$B29,Logs!$A$2:$A$500,0)),"")</f>
        <v>03/09/2021</v>
      </c>
      <c r="K29" s="165" t="str">
        <f>IFERROR(INDEX(Logs!$F$2:$F$500,MATCH(Beneficiaries!$B29,Logs!$A$2:$A$500,0)),"")</f>
        <v>30/09/2023</v>
      </c>
      <c r="L29" s="165">
        <f>IFERROR(INDEX(Logs!$G$2:$G$500,MATCH(Beneficiaries!$B29,Logs!$A$2:$A$500,0)),0)</f>
        <v>26</v>
      </c>
      <c r="M29" s="165">
        <v>0</v>
      </c>
      <c r="N29" s="165">
        <f>L29+M29</f>
        <v>26</v>
      </c>
      <c r="O29" s="171">
        <f>IFERROR(INDEX(Logs!$H$2:$H$500,MATCH(Beneficiaries!$B29,Logs!$A$2:$A$500,0)),)</f>
        <v>204.16</v>
      </c>
      <c r="P29" s="172">
        <f>IFERROR(N29*O29,0)</f>
        <v>5308.16</v>
      </c>
      <c r="Q29" s="173"/>
    </row>
    <row r="30">
      <c r="A30" s="144" t="s"/>
      <c r="B30" s="175"/>
      <c r="C30" s="175"/>
      <c r="D30" s="175"/>
      <c r="E30" s="175"/>
      <c r="F30" s="175"/>
      <c r="G30" s="175"/>
      <c r="H30" s="175"/>
      <c r="I30" s="175"/>
      <c r="J30" s="175"/>
      <c r="K30" s="175"/>
      <c r="L30" s="176">
        <f>SUM(L10:L29)</f>
        <v>398</v>
      </c>
      <c r="M30" s="176">
        <f>SUM(M10:M29)</f>
        <v>0</v>
      </c>
      <c r="N30" s="176">
        <f>SUM(N10:N29)</f>
        <v>398</v>
      </c>
      <c r="O30" s="177">
        <f>SUM(O10:O29)</f>
        <v>3512.4799999999991</v>
      </c>
      <c r="P30" s="178">
        <f>SUM(P10:P29)</f>
        <v>69813.440000000002</v>
      </c>
      <c r="Q30" s="179"/>
    </row>
    <row r="31" ht="27" customHeight="true">
      <c r="A31" s="144" t="s"/>
      <c r="B31" s="180" t="s">
        <v>127</v>
      </c>
      <c r="C31" s="180"/>
      <c r="D31" s="181" t="s">
        <v>128</v>
      </c>
      <c r="E31" s="153" t="str">
        <f>Project!$G$30</f>
        <v>Benjamin Milandou-Loubeka</v>
      </c>
      <c r="F31" s="153"/>
      <c r="G31" s="153"/>
      <c r="H31" s="153" t="s">
        <v>129</v>
      </c>
      <c r="I31" s="157"/>
      <c r="J31" s="157"/>
      <c r="K31" s="157"/>
      <c r="L31" s="157"/>
      <c r="M31" s="157"/>
      <c r="N31" s="157"/>
      <c r="O31" s="157"/>
      <c r="P31" s="157"/>
      <c r="Q31" s="14"/>
    </row>
    <row r="32" ht="27" customHeight="true">
      <c r="A32" s="144" t="s"/>
      <c r="B32" s="180"/>
      <c r="C32" s="180"/>
      <c r="D32" s="181" t="s">
        <v>130</v>
      </c>
      <c r="E32" s="182">
        <f>Project!$AN$1</f>
        <v>45199</v>
      </c>
      <c r="F32" s="182"/>
      <c r="G32" s="182"/>
      <c r="H32" s="153"/>
      <c r="I32" s="157"/>
      <c r="J32" s="157"/>
      <c r="K32" s="157"/>
      <c r="L32" s="157"/>
      <c r="M32" s="157"/>
      <c r="N32" s="157"/>
      <c r="O32" s="157"/>
      <c r="P32" s="157"/>
      <c r="Q32" s="14"/>
    </row>
    <row r="33" ht="14.25" customHeight="true">
      <c r="A33" s="144" t="s"/>
      <c r="B33" s="158"/>
      <c r="C33" s="158"/>
      <c r="D33" s="183"/>
      <c r="E33" s="14"/>
      <c r="F33" s="14"/>
      <c r="G33" s="14"/>
      <c r="H33" s="148"/>
      <c r="I33" s="14"/>
      <c r="J33" s="14"/>
      <c r="K33" s="14"/>
      <c r="L33" s="14"/>
      <c r="M33" s="14"/>
      <c r="N33" s="14"/>
      <c r="O33" s="14"/>
      <c r="P33" s="14"/>
      <c r="Q33" s="14"/>
    </row>
    <row r="34" ht="27" customHeight="true">
      <c r="A34" s="144" t="s"/>
      <c r="B34" s="180" t="s">
        <v>131</v>
      </c>
      <c r="C34" s="180"/>
      <c r="D34" s="181" t="s">
        <v>128</v>
      </c>
      <c r="E34" s="157"/>
      <c r="F34" s="157"/>
      <c r="G34" s="157"/>
      <c r="H34" s="153" t="s">
        <v>129</v>
      </c>
      <c r="I34" s="157"/>
      <c r="J34" s="157"/>
      <c r="K34" s="157"/>
      <c r="L34" s="157"/>
      <c r="M34" s="157"/>
      <c r="N34" s="157"/>
      <c r="O34" s="157"/>
      <c r="P34" s="157"/>
      <c r="Q34" s="14"/>
    </row>
    <row r="35" ht="27" customHeight="true">
      <c r="A35" s="144" t="s"/>
      <c r="B35" s="180"/>
      <c r="C35" s="180"/>
      <c r="D35" s="181" t="s">
        <v>130</v>
      </c>
      <c r="E35" s="157"/>
      <c r="F35" s="157"/>
      <c r="G35" s="157"/>
      <c r="H35" s="153"/>
      <c r="I35" s="157"/>
      <c r="J35" s="157"/>
      <c r="K35" s="157"/>
      <c r="L35" s="157"/>
      <c r="M35" s="157"/>
      <c r="N35" s="157"/>
      <c r="O35" s="157"/>
      <c r="P35" s="157"/>
      <c r="Q35" s="14"/>
    </row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>
      <c r="A74" s="144" t="s"/>
      <c r="B74" s="14"/>
    </row>
  </sheetData>
  <dataValidations count="1">
    <dataValidation allowBlank="true" showInputMessage="true" showErrorMessage="true" promptTitle="Month" type="" sqref="I6">
      <formula1/>
    </dataValidation>
  </dataValidations>
  <mergeCells count="14">
    <mergeCell ref="B3:P3"/>
    <mergeCell ref="B5:C6"/>
    <mergeCell ref="D5:E6"/>
    <mergeCell ref="K5:M5"/>
    <mergeCell ref="B31:C32"/>
    <mergeCell ref="E31:G31"/>
    <mergeCell ref="H31:H32"/>
    <mergeCell ref="I31:P32"/>
    <mergeCell ref="E32:G32"/>
    <mergeCell ref="B34:C35"/>
    <mergeCell ref="E34:G34"/>
    <mergeCell ref="H34:H35"/>
    <mergeCell ref="I34:P35"/>
    <mergeCell ref="E35:G35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>
  <sheetPr filterMode="false">
    <pageSetUpPr fitToPage="false"/>
  </sheetPr>
  <dimension ref="A1:R74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85546875" defaultRowHeight="12.75"/>
  <cols>
    <col collapsed="false" hidden="false" max="1" min="1" style="144" width="20.7109375" customWidth="true"/>
    <col collapsed="false" hidden="false" max="2" min="2" style="1" width="4.42578125" customWidth="true"/>
    <col collapsed="false" hidden="false" max="5" min="3" style="1" width="24.42578125" customWidth="true"/>
    <col collapsed="false" hidden="false" max="5" min="3" style="1" width="24.42578125" customWidth="true"/>
    <col collapsed="false" hidden="false" max="5" min="3" style="1" width="24.42578125" customWidth="true"/>
    <col collapsed="false" hidden="false" max="6" min="6" style="1" width="10.140625" customWidth="true"/>
    <col collapsed="false" hidden="false" max="9" min="7" style="1" width="8.85546875" customWidth="true"/>
    <col collapsed="false" hidden="false" max="9" min="7" style="1" width="8.85546875" customWidth="true"/>
    <col collapsed="false" hidden="false" max="9" min="7" style="1" width="8.85546875" customWidth="true"/>
    <col collapsed="false" hidden="false" max="11" min="10" style="1" width="10.140625" customWidth="true"/>
    <col collapsed="false" hidden="false" max="11" min="10" style="1" width="10.14062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7" min="16" style="1" width="14.5703125" customWidth="true"/>
    <col collapsed="false" hidden="false" max="17" min="16" style="1" width="14.5703125" customWidth="true"/>
    <col collapsed="false" hidden="false" max="18" min="18" style="145" width="8.85546875" customWidth="true"/>
  </cols>
  <sheetData>
    <row r="1">
      <c r="A1" s="144" t="s"/>
      <c r="B1" s="146" t="s">
        <v>96</v>
      </c>
      <c r="C1" s="2"/>
      <c r="D1" s="2"/>
      <c r="E1" s="147" t="s">
        <v>2</v>
      </c>
      <c r="F1" s="1" t="s"/>
      <c r="G1" s="2"/>
      <c r="H1" s="2"/>
      <c r="I1" s="2"/>
      <c r="J1" s="1" t="s"/>
      <c r="K1" s="1" t="s"/>
      <c r="L1" s="1" t="s"/>
      <c r="M1" s="1" t="s"/>
      <c r="N1" s="1" t="s"/>
      <c r="O1" s="1" t="s"/>
      <c r="P1" s="1" t="s"/>
      <c r="Q1" s="1" t="s"/>
      <c r="R1" s="11">
        <f>IF(Beneficiaries!$P$30&gt;0,1,"")</f>
        <v>1</v>
      </c>
    </row>
    <row r="2">
      <c r="A2" s="144" t="s"/>
      <c r="B2" s="1" t="s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11">
        <f>IF('Beneficiaries (2)'!$P$30&gt;0,1,"")</f>
        <v>1</v>
      </c>
    </row>
    <row r="3">
      <c r="A3" s="144" t="s"/>
      <c r="B3" s="148" t="s">
        <v>97</v>
      </c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1">
        <f>IF('Beneficiaries (3)'!$P$30&gt;0,1,"")</f>
        <v>1</v>
      </c>
    </row>
    <row r="4">
      <c r="A4" s="144" t="s"/>
      <c r="B4" s="1" t="s"/>
      <c r="C4" s="146"/>
      <c r="D4" s="146"/>
      <c r="E4" s="146"/>
      <c r="F4" s="146"/>
      <c r="G4" s="146"/>
      <c r="H4" s="1" t="s"/>
      <c r="I4" s="1" t="s"/>
      <c r="J4" s="1" t="s"/>
      <c r="K4" s="1" t="s"/>
      <c r="L4" s="1" t="s"/>
      <c r="M4" s="1" t="s"/>
      <c r="N4" s="1" t="s"/>
      <c r="O4" s="1" t="s"/>
      <c r="P4" s="1" t="s"/>
      <c r="Q4" s="1" t="s"/>
      <c r="R4" s="11">
        <f>IF('Beneficiaries (4)'!$P$30&gt;0,1,"")</f>
        <v>1</v>
      </c>
    </row>
    <row r="5" ht="12.75" customHeight="true">
      <c r="A5" s="144" t="s"/>
      <c r="B5" s="149" t="s">
        <v>98</v>
      </c>
      <c r="C5" s="150"/>
      <c r="D5" s="151" t="str">
        <f>Project!$Z$25</f>
        <v>WSDS/24/111i</v>
      </c>
      <c r="E5" s="151"/>
      <c r="F5" s="152"/>
      <c r="G5" s="1" t="s"/>
      <c r="H5" s="153" t="s">
        <v>99</v>
      </c>
      <c r="I5" s="153" t="s">
        <v>100</v>
      </c>
      <c r="J5" s="146"/>
      <c r="K5" s="154" t="s">
        <v>101</v>
      </c>
      <c r="L5" s="154"/>
      <c r="M5" s="154"/>
      <c r="N5" s="39"/>
      <c r="O5" s="39"/>
      <c r="P5" s="146"/>
      <c r="Q5" s="146"/>
      <c r="R5" s="11">
        <f>IF('Beneficiaries (5)'!$P$30&gt;0,1,"")</f>
        <v>1</v>
      </c>
    </row>
    <row r="6">
      <c r="A6" s="144" t="s"/>
      <c r="B6" s="155"/>
      <c r="C6" s="156"/>
      <c r="D6" s="151"/>
      <c r="E6" s="151"/>
      <c r="F6" s="152"/>
      <c r="G6" s="1" t="s"/>
      <c r="H6" s="109" t="str">
        <f>TEXT(Project!$AN$1,"YYYY")</f>
        <v>2023</v>
      </c>
      <c r="I6" s="109" t="str">
        <f>TEXT(Project!$AN$1,"MMMM")</f>
        <v>September</v>
      </c>
      <c r="J6" s="7"/>
      <c r="K6" s="157">
        <v>1</v>
      </c>
      <c r="L6" s="154" t="s">
        <v>102</v>
      </c>
      <c r="M6" s="154">
        <f>IF(K6&gt;0,COUNT(R1:R20),"")</f>
        <v>14</v>
      </c>
      <c r="N6" s="39"/>
      <c r="O6" s="39"/>
      <c r="P6" s="14"/>
      <c r="Q6" s="14"/>
      <c r="R6" s="11">
        <f>IF('Beneficiaries (6)'!$P$30&gt;0,1,"")</f>
        <v>1</v>
      </c>
    </row>
    <row r="7">
      <c r="A7" s="144" t="s"/>
      <c r="B7" s="158"/>
      <c r="C7" s="158"/>
      <c r="D7" s="158"/>
      <c r="E7" s="14"/>
      <c r="F7" s="14"/>
      <c r="G7" s="1" t="s"/>
      <c r="H7" s="7"/>
      <c r="I7" s="7"/>
      <c r="J7" s="7"/>
      <c r="K7" s="14"/>
      <c r="L7" s="39"/>
      <c r="M7" s="39"/>
      <c r="N7" s="39"/>
      <c r="O7" s="39"/>
      <c r="P7" s="14"/>
      <c r="Q7" s="14"/>
      <c r="R7" s="11">
        <f>IF('Beneficiaries (7)'!$P$30&gt;0,1,"")</f>
        <v>1</v>
      </c>
    </row>
    <row r="8">
      <c r="A8" s="144" t="s"/>
      <c r="B8" s="159"/>
      <c r="C8" s="160" t="s">
        <v>103</v>
      </c>
      <c r="D8" s="160" t="s">
        <v>103</v>
      </c>
      <c r="E8" s="160" t="s">
        <v>103</v>
      </c>
      <c r="F8" s="160" t="s">
        <v>104</v>
      </c>
      <c r="G8" s="159"/>
      <c r="H8" s="159"/>
      <c r="I8" s="160" t="s">
        <v>105</v>
      </c>
      <c r="J8" s="159"/>
      <c r="K8" s="160" t="s">
        <v>106</v>
      </c>
      <c r="L8" s="160" t="s">
        <v>107</v>
      </c>
      <c r="M8" s="160" t="s">
        <v>108</v>
      </c>
      <c r="N8" s="160"/>
      <c r="O8" s="160" t="s">
        <v>109</v>
      </c>
      <c r="P8" s="160"/>
      <c r="Q8" s="161"/>
      <c r="R8" s="11">
        <f>IF('Beneficiaries (8)'!$P$30&gt;0,1,"")</f>
        <v>1</v>
      </c>
    </row>
    <row r="9">
      <c r="A9" s="144" t="s"/>
      <c r="B9" s="162" t="s">
        <v>110</v>
      </c>
      <c r="C9" s="162" t="s">
        <v>111</v>
      </c>
      <c r="D9" s="162" t="s">
        <v>112</v>
      </c>
      <c r="E9" s="162" t="s">
        <v>113</v>
      </c>
      <c r="F9" s="163" t="s">
        <v>114</v>
      </c>
      <c r="G9" s="163" t="s">
        <v>115</v>
      </c>
      <c r="H9" s="163" t="s">
        <v>116</v>
      </c>
      <c r="I9" s="163" t="s">
        <v>117</v>
      </c>
      <c r="J9" s="163" t="s">
        <v>118</v>
      </c>
      <c r="K9" s="163" t="s">
        <v>119</v>
      </c>
      <c r="L9" s="163" t="s">
        <v>120</v>
      </c>
      <c r="M9" s="163" t="s">
        <v>121</v>
      </c>
      <c r="N9" s="163" t="s">
        <v>122</v>
      </c>
      <c r="O9" s="163" t="s">
        <v>123</v>
      </c>
      <c r="P9" s="163" t="s">
        <v>124</v>
      </c>
      <c r="Q9" s="164"/>
      <c r="R9" s="11">
        <f>IF('Beneficiaries (9)'!$P$30&gt;0,1,"")</f>
        <v>1</v>
      </c>
    </row>
    <row r="10">
      <c r="A10" s="144" t="str">
        <f>ID_Valid(E10)</f>
      </c>
      <c r="B10" s="165">
        <v>21</v>
      </c>
      <c r="C10" s="166" t="str">
        <f>IFERROR(INDEX(Logs!$B$2:$B$500,MATCH('Beneficiaries (2)'!$B10,Logs!$A$2:$A$500,0)),"")</f>
        <v>Funyanwa</v>
      </c>
      <c r="D10" s="166" t="str">
        <f>IFERROR(INDEX(Logs!$C$2:$C$500,MATCH('Beneficiaries (2)'!$B10,Logs!$A$2:$A$500,0)),"")</f>
        <v>Sobekwa-Qudalele</v>
      </c>
      <c r="E10" s="167" t="str">
        <f>IFERROR(INDEX(Logs!$D$2:$D$500,MATCH('Beneficiaries (2)'!$B10,Logs!$A$2:$A$500,0)),"")</f>
        <v>7912180403080</v>
      </c>
      <c r="F10" s="168" t="s">
        <v>125</v>
      </c>
      <c r="G10" s="165" t="str">
        <f>TheGender(E10)</f>
        <v>F</v>
      </c>
      <c r="H10" s="165" t="s">
        <v>125</v>
      </c>
      <c r="I10" s="169" t="s">
        <v>126</v>
      </c>
      <c r="J10" s="170" t="str">
        <f>IFERROR(INDEX(Logs!$E$2:$E$500,MATCH('Beneficiaries (2)'!$B10,Logs!$A$2:$A$500,0)),"")</f>
        <v>03/09/2021</v>
      </c>
      <c r="K10" s="170" t="str">
        <f>IFERROR(INDEX(Logs!$F$2:$F$500,MATCH('Beneficiaries (2)'!$B10,Logs!$A$2:$A$500,0)),"")</f>
        <v>30/09/2023</v>
      </c>
      <c r="L10" s="165">
        <f>IFERROR(INDEX(Logs!$G$2:$G$500,MATCH('Beneficiaries (2)'!$B10,Logs!$A$2:$A$500,0)),0)</f>
        <v>26</v>
      </c>
      <c r="M10" s="165">
        <v>0</v>
      </c>
      <c r="N10" s="165">
        <f>M10+L10</f>
        <v>26</v>
      </c>
      <c r="O10" s="171">
        <f>IFERROR(INDEX(Logs!$H$2:$H$500,MATCH('Beneficiaries (2)'!$B10,Logs!$A$2:$A$500,0)),)</f>
        <v>204.16</v>
      </c>
      <c r="P10" s="172">
        <f>IFERROR(N10*O10,0)</f>
        <v>5308.16</v>
      </c>
      <c r="Q10" s="173"/>
      <c r="R10" s="11">
        <f>IF('Beneficiaries (10)'!$P$30&gt;0,1,"")</f>
        <v>1</v>
      </c>
    </row>
    <row r="11">
      <c r="A11" s="144" t="str">
        <f>ID_Valid(E11)</f>
      </c>
      <c r="B11" s="165">
        <v>22</v>
      </c>
      <c r="C11" s="166" t="str">
        <f>IFERROR(INDEX(Logs!$B$2:$B$500,MATCH('Beneficiaries (2)'!$B11,Logs!$A$2:$A$500,0)),"")</f>
        <v>Siphokazi</v>
      </c>
      <c r="D11" s="166" t="str">
        <f>IFERROR(INDEX(Logs!$C$2:$C$500,MATCH('Beneficiaries (2)'!$B11,Logs!$A$2:$A$500,0)),"")</f>
        <v>Dube</v>
      </c>
      <c r="E11" s="167" t="str">
        <f>IFERROR(INDEX(Logs!$D$2:$D$500,MATCH('Beneficiaries (2)'!$B11,Logs!$A$2:$A$500,0)),"")</f>
        <v>8508310446087</v>
      </c>
      <c r="F11" s="168" t="s">
        <v>125</v>
      </c>
      <c r="G11" s="165" t="str">
        <f>TheGender(E11)</f>
        <v>F</v>
      </c>
      <c r="H11" s="165" t="s">
        <v>125</v>
      </c>
      <c r="I11" s="165" t="s">
        <v>126</v>
      </c>
      <c r="J11" s="165" t="str">
        <f>IFERROR(INDEX(Logs!$E$2:$E$500,MATCH('Beneficiaries (2)'!$B11,Logs!$A$2:$A$500,0)),"")</f>
        <v>21/11/0001</v>
      </c>
      <c r="K11" s="165" t="str">
        <f>IFERROR(INDEX(Logs!$F$2:$F$500,MATCH('Beneficiaries (2)'!$B11,Logs!$A$2:$A$500,0)),"")</f>
        <v>31/10/2023</v>
      </c>
      <c r="L11" s="165">
        <f>IFERROR(INDEX(Logs!$G$2:$G$500,MATCH('Beneficiaries (2)'!$B11,Logs!$A$2:$A$500,0)),0)</f>
        <v>17</v>
      </c>
      <c r="M11" s="165">
        <v>0</v>
      </c>
      <c r="N11" s="165">
        <f>L11+M11</f>
        <v>17</v>
      </c>
      <c r="O11" s="171">
        <f>IFERROR(INDEX(Logs!$H$2:$H$500,MATCH('Beneficiaries (2)'!$B11,Logs!$A$2:$A$500,0)),)</f>
        <v>218.08</v>
      </c>
      <c r="P11" s="172">
        <f>IFERROR(N11*O11,0)</f>
        <v>3707.36</v>
      </c>
      <c r="Q11" s="173"/>
      <c r="R11" s="11">
        <f>IF('Beneficiaries (11)'!$P$30&gt;0,1,"")</f>
        <v>1</v>
      </c>
    </row>
    <row r="12">
      <c r="A12" s="144" t="str">
        <f>ID_Valid(E12)</f>
      </c>
      <c r="B12" s="165">
        <v>23</v>
      </c>
      <c r="C12" s="166" t="str">
        <f>IFERROR(INDEX(Logs!$B$2:$B$500,MATCH('Beneficiaries (2)'!$B12,Logs!$A$2:$A$500,0)),"")</f>
        <v>Vuyiswa</v>
      </c>
      <c r="D12" s="166" t="str">
        <f>IFERROR(INDEX(Logs!$C$2:$C$500,MATCH('Beneficiaries (2)'!$B12,Logs!$A$2:$A$500,0)),"")</f>
        <v>Damane</v>
      </c>
      <c r="E12" s="167" t="str">
        <f>IFERROR(INDEX(Logs!$D$2:$D$500,MATCH('Beneficiaries (2)'!$B12,Logs!$A$2:$A$500,0)),"")</f>
        <v>8008101327083</v>
      </c>
      <c r="F12" s="168" t="s">
        <v>125</v>
      </c>
      <c r="G12" s="165" t="str">
        <f>TheGender(E12)</f>
        <v>F</v>
      </c>
      <c r="H12" s="165" t="s">
        <v>125</v>
      </c>
      <c r="I12" s="165" t="s">
        <v>126</v>
      </c>
      <c r="J12" s="165" t="str">
        <f>IFERROR(INDEX(Logs!$E$2:$E$500,MATCH('Beneficiaries (2)'!$B12,Logs!$A$2:$A$500,0)),"")</f>
        <v>13/06/0007</v>
      </c>
      <c r="K12" s="165" t="str">
        <f>IFERROR(INDEX(Logs!$F$2:$F$500,MATCH('Beneficiaries (2)'!$B12,Logs!$A$2:$A$500,0)),"")</f>
        <v>30/09/2023</v>
      </c>
      <c r="L12" s="165">
        <f>IFERROR(INDEX(Logs!$G$2:$G$500,MATCH('Beneficiaries (2)'!$B12,Logs!$A$2:$A$500,0)),0)</f>
        <v>21</v>
      </c>
      <c r="M12" s="165">
        <v>0</v>
      </c>
      <c r="N12" s="165">
        <f>L12+M12</f>
        <v>21</v>
      </c>
      <c r="O12" s="171">
        <f>IFERROR(INDEX(Logs!$H$2:$H$500,MATCH('Beneficiaries (2)'!$B12,Logs!$A$2:$A$500,0)),)</f>
        <v>204.16</v>
      </c>
      <c r="P12" s="172">
        <f>IFERROR(N12*O12,0)</f>
        <v>4287.3599999999997</v>
      </c>
      <c r="Q12" s="173"/>
      <c r="R12" s="11">
        <f>IF('Beneficiaries (12)'!$P$30&gt;0,1,"")</f>
        <v>1</v>
      </c>
    </row>
    <row r="13">
      <c r="A13" s="144" t="str">
        <f>ID_Valid(E13)</f>
      </c>
      <c r="B13" s="165">
        <v>24</v>
      </c>
      <c r="C13" s="166" t="str">
        <f>IFERROR(INDEX(Logs!$B$2:$B$500,MATCH('Beneficiaries (2)'!$B13,Logs!$A$2:$A$500,0)),"")</f>
        <v>Babalwa</v>
      </c>
      <c r="D13" s="166" t="str">
        <f>IFERROR(INDEX(Logs!$C$2:$C$500,MATCH('Beneficiaries (2)'!$B13,Logs!$A$2:$A$500,0)),"")</f>
        <v>Mchenge</v>
      </c>
      <c r="E13" s="167" t="str">
        <f>IFERROR(INDEX(Logs!$D$2:$D$500,MATCH('Beneficiaries (2)'!$B13,Logs!$A$2:$A$500,0)),"")</f>
        <v>8404031198084</v>
      </c>
      <c r="F13" s="168" t="s">
        <v>125</v>
      </c>
      <c r="G13" s="165" t="str">
        <f>TheGender(E13)</f>
        <v>F</v>
      </c>
      <c r="H13" s="165" t="s">
        <v>125</v>
      </c>
      <c r="I13" s="165" t="s">
        <v>126</v>
      </c>
      <c r="J13" s="165" t="str">
        <f>IFERROR(INDEX(Logs!$E$2:$E$500,MATCH('Beneficiaries (2)'!$B13,Logs!$A$2:$A$500,0)),"")</f>
        <v>11/12/2021</v>
      </c>
      <c r="K13" s="165" t="str">
        <f>IFERROR(INDEX(Logs!$F$2:$F$500,MATCH('Beneficiaries (2)'!$B13,Logs!$A$2:$A$500,0)),"")</f>
        <v>30/09/2023</v>
      </c>
      <c r="L13" s="165">
        <f>IFERROR(INDEX(Logs!$G$2:$G$500,MATCH('Beneficiaries (2)'!$B13,Logs!$A$2:$A$500,0)),0)</f>
        <v>26</v>
      </c>
      <c r="M13" s="165">
        <v>0</v>
      </c>
      <c r="N13" s="165">
        <f>L13+M13</f>
        <v>26</v>
      </c>
      <c r="O13" s="171">
        <f>IFERROR(INDEX(Logs!$H$2:$H$500,MATCH('Beneficiaries (2)'!$B13,Logs!$A$2:$A$500,0)),)</f>
        <v>204.16</v>
      </c>
      <c r="P13" s="172">
        <f>IFERROR(N13*O13,0)</f>
        <v>5308.16</v>
      </c>
      <c r="Q13" s="173"/>
      <c r="R13" s="11">
        <f>IF('Beneficiaries (13)'!$P$30&gt;0,1,"")</f>
        <v>1</v>
      </c>
    </row>
    <row r="14">
      <c r="A14" s="144" t="str">
        <f>ID_Valid(E14)</f>
      </c>
      <c r="B14" s="165">
        <v>25</v>
      </c>
      <c r="C14" s="166" t="str">
        <f>IFERROR(INDEX(Logs!$B$2:$B$500,MATCH('Beneficiaries (2)'!$B14,Logs!$A$2:$A$500,0)),"")</f>
        <v>Louisa</v>
      </c>
      <c r="D14" s="166" t="str">
        <f>IFERROR(INDEX(Logs!$C$2:$C$500,MATCH('Beneficiaries (2)'!$B14,Logs!$A$2:$A$500,0)),"")</f>
        <v>Theron</v>
      </c>
      <c r="E14" s="167" t="str">
        <f>IFERROR(INDEX(Logs!$D$2:$D$500,MATCH('Beneficiaries (2)'!$B14,Logs!$A$2:$A$500,0)),"")</f>
        <v>7004010991086</v>
      </c>
      <c r="F14" s="168" t="s">
        <v>125</v>
      </c>
      <c r="G14" s="165" t="str">
        <f>TheGender(E14)</f>
        <v>F</v>
      </c>
      <c r="H14" s="165" t="s">
        <v>125</v>
      </c>
      <c r="I14" s="165" t="s">
        <v>126</v>
      </c>
      <c r="J14" s="165" t="str">
        <f>IFERROR(INDEX(Logs!$E$2:$E$500,MATCH('Beneficiaries (2)'!$B14,Logs!$A$2:$A$500,0)),"")</f>
        <v>01/03/2022</v>
      </c>
      <c r="K14" s="165" t="str">
        <f>IFERROR(INDEX(Logs!$F$2:$F$500,MATCH('Beneficiaries (2)'!$B14,Logs!$A$2:$A$500,0)),"")</f>
        <v>30/09/2023</v>
      </c>
      <c r="L14" s="165">
        <f>IFERROR(INDEX(Logs!$G$2:$G$500,MATCH('Beneficiaries (2)'!$B14,Logs!$A$2:$A$500,0)),0)</f>
        <v>22</v>
      </c>
      <c r="M14" s="165">
        <v>0</v>
      </c>
      <c r="N14" s="165">
        <f>L14+M14</f>
        <v>22</v>
      </c>
      <c r="O14" s="171">
        <f>IFERROR(INDEX(Logs!$H$2:$H$500,MATCH('Beneficiaries (2)'!$B14,Logs!$A$2:$A$500,0)),)</f>
        <v>204.16</v>
      </c>
      <c r="P14" s="172">
        <f>IFERROR(N14*O14,0)</f>
        <v>4491.5199999999995</v>
      </c>
      <c r="Q14" s="173"/>
      <c r="R14" s="11">
        <f>IF('Beneficiaries (14)'!$P$30&gt;0,1,"")</f>
        <v>1</v>
      </c>
    </row>
    <row r="15">
      <c r="A15" s="144" t="str">
        <f>ID_Valid(E15)</f>
      </c>
      <c r="B15" s="165">
        <v>26</v>
      </c>
      <c r="C15" s="166" t="str">
        <f>IFERROR(INDEX(Logs!$B$2:$B$500,MATCH('Beneficiaries (2)'!$B15,Logs!$A$2:$A$500,0)),"")</f>
        <v>Kekeletso</v>
      </c>
      <c r="D15" s="166" t="str">
        <f>IFERROR(INDEX(Logs!$C$2:$C$500,MATCH('Beneficiaries (2)'!$B15,Logs!$A$2:$A$500,0)),"")</f>
        <v>Sello</v>
      </c>
      <c r="E15" s="167" t="str">
        <f>IFERROR(INDEX(Logs!$D$2:$D$500,MATCH('Beneficiaries (2)'!$B15,Logs!$A$2:$A$500,0)),"")</f>
        <v>7903310506082</v>
      </c>
      <c r="F15" s="168" t="s">
        <v>125</v>
      </c>
      <c r="G15" s="165" t="str">
        <f>TheGender(E15)</f>
        <v>F</v>
      </c>
      <c r="H15" s="165" t="s">
        <v>125</v>
      </c>
      <c r="I15" s="165" t="s">
        <v>126</v>
      </c>
      <c r="J15" s="165" t="str">
        <f>IFERROR(INDEX(Logs!$E$2:$E$500,MATCH('Beneficiaries (2)'!$B15,Logs!$A$2:$A$500,0)),"")</f>
        <v>01/03/2022</v>
      </c>
      <c r="K15" s="165" t="str">
        <f>IFERROR(INDEX(Logs!$F$2:$F$500,MATCH('Beneficiaries (2)'!$B15,Logs!$A$2:$A$500,0)),"")</f>
        <v>30/09/2023</v>
      </c>
      <c r="L15" s="165">
        <f>IFERROR(INDEX(Logs!$G$2:$G$500,MATCH('Beneficiaries (2)'!$B15,Logs!$A$2:$A$500,0)),0)</f>
        <v>22</v>
      </c>
      <c r="M15" s="165">
        <v>0</v>
      </c>
      <c r="N15" s="165">
        <f>L15+M15</f>
        <v>22</v>
      </c>
      <c r="O15" s="171">
        <f>IFERROR(INDEX(Logs!$H$2:$H$500,MATCH('Beneficiaries (2)'!$B15,Logs!$A$2:$A$500,0)),)</f>
        <v>204.16</v>
      </c>
      <c r="P15" s="172">
        <f>IFERROR(N15*O15,0)</f>
        <v>4491.5199999999995</v>
      </c>
      <c r="Q15" s="173"/>
      <c r="R15" s="11"/>
    </row>
    <row r="16">
      <c r="A16" s="144" t="str">
        <f>ID_Valid(E16)</f>
      </c>
      <c r="B16" s="165">
        <v>27</v>
      </c>
      <c r="C16" s="166" t="str">
        <f>IFERROR(INDEX(Logs!$B$2:$B$500,MATCH('Beneficiaries (2)'!$B16,Logs!$A$2:$A$500,0)),"")</f>
        <v>Ntomboxolo</v>
      </c>
      <c r="D16" s="166" t="str">
        <f>IFERROR(INDEX(Logs!$C$2:$C$500,MATCH('Beneficiaries (2)'!$B16,Logs!$A$2:$A$500,0)),"")</f>
        <v>Yaya</v>
      </c>
      <c r="E16" s="167" t="str">
        <f>IFERROR(INDEX(Logs!$D$2:$D$500,MATCH('Beneficiaries (2)'!$B16,Logs!$A$2:$A$500,0)),"")</f>
        <v>8608030397089</v>
      </c>
      <c r="F16" s="168" t="s">
        <v>125</v>
      </c>
      <c r="G16" s="165" t="str">
        <f>TheGender(E16)</f>
        <v>F</v>
      </c>
      <c r="H16" s="165" t="s">
        <v>125</v>
      </c>
      <c r="I16" s="165" t="s">
        <v>126</v>
      </c>
      <c r="J16" s="165" t="str">
        <f>IFERROR(INDEX(Logs!$E$2:$E$500,MATCH('Beneficiaries (2)'!$B16,Logs!$A$2:$A$500,0)),"")</f>
        <v>05/03/2022</v>
      </c>
      <c r="K16" s="165" t="str">
        <f>IFERROR(INDEX(Logs!$F$2:$F$500,MATCH('Beneficiaries (2)'!$B16,Logs!$A$2:$A$500,0)),"")</f>
        <v>30/09/2023</v>
      </c>
      <c r="L16" s="165">
        <f>IFERROR(INDEX(Logs!$G$2:$G$500,MATCH('Beneficiaries (2)'!$B16,Logs!$A$2:$A$500,0)),0)</f>
        <v>26</v>
      </c>
      <c r="M16" s="165">
        <v>0</v>
      </c>
      <c r="N16" s="165">
        <f>L16+M16</f>
        <v>26</v>
      </c>
      <c r="O16" s="171">
        <f>IFERROR(INDEX(Logs!$H$2:$H$500,MATCH('Beneficiaries (2)'!$B16,Logs!$A$2:$A$500,0)),)</f>
        <v>204.16</v>
      </c>
      <c r="P16" s="172">
        <f>IFERROR(N16*O16,0)</f>
        <v>5308.16</v>
      </c>
      <c r="Q16" s="173"/>
      <c r="R16" s="11"/>
    </row>
    <row r="17">
      <c r="A17" s="144" t="str">
        <f>ID_Valid(E17)</f>
      </c>
      <c r="B17" s="165">
        <v>28</v>
      </c>
      <c r="C17" s="166" t="str">
        <f>IFERROR(INDEX(Logs!$B$2:$B$500,MATCH('Beneficiaries (2)'!$B17,Logs!$A$2:$A$500,0)),"")</f>
        <v>Nokubonga</v>
      </c>
      <c r="D17" s="166" t="str">
        <f>IFERROR(INDEX(Logs!$C$2:$C$500,MATCH('Beneficiaries (2)'!$B17,Logs!$A$2:$A$500,0)),"")</f>
        <v>Mkondo</v>
      </c>
      <c r="E17" s="167" t="str">
        <f>IFERROR(INDEX(Logs!$D$2:$D$500,MATCH('Beneficiaries (2)'!$B17,Logs!$A$2:$A$500,0)),"")</f>
        <v>8210250941082</v>
      </c>
      <c r="F17" s="168" t="s">
        <v>125</v>
      </c>
      <c r="G17" s="165" t="str">
        <f>TheGender(E17)</f>
        <v>F</v>
      </c>
      <c r="H17" s="165" t="s">
        <v>125</v>
      </c>
      <c r="I17" s="165" t="s">
        <v>126</v>
      </c>
      <c r="J17" s="165" t="str">
        <f>IFERROR(INDEX(Logs!$E$2:$E$500,MATCH('Beneficiaries (2)'!$B17,Logs!$A$2:$A$500,0)),"")</f>
        <v>05/03/2022</v>
      </c>
      <c r="K17" s="165" t="str">
        <f>IFERROR(INDEX(Logs!$F$2:$F$500,MATCH('Beneficiaries (2)'!$B17,Logs!$A$2:$A$500,0)),"")</f>
        <v>30/09/2023</v>
      </c>
      <c r="L17" s="165">
        <f>IFERROR(INDEX(Logs!$G$2:$G$500,MATCH('Beneficiaries (2)'!$B17,Logs!$A$2:$A$500,0)),0)</f>
        <v>26</v>
      </c>
      <c r="M17" s="165">
        <v>0</v>
      </c>
      <c r="N17" s="165">
        <f>L17+M17</f>
        <v>26</v>
      </c>
      <c r="O17" s="171">
        <f>IFERROR(INDEX(Logs!$H$2:$H$500,MATCH('Beneficiaries (2)'!$B17,Logs!$A$2:$A$500,0)),)</f>
        <v>204.16</v>
      </c>
      <c r="P17" s="172">
        <f>IFERROR(N17*O17,0)</f>
        <v>5308.16</v>
      </c>
      <c r="Q17" s="173"/>
    </row>
    <row r="18">
      <c r="A18" s="144" t="str">
        <f>ID_Valid(E18)</f>
        <v>INVALID ID - Check Digit</v>
      </c>
      <c r="B18" s="165">
        <v>29</v>
      </c>
      <c r="C18" s="166" t="str">
        <f>IFERROR(INDEX(Logs!$B$2:$B$500,MATCH('Beneficiaries (2)'!$B18,Logs!$A$2:$A$500,0)),"")</f>
        <v>Ntandazo</v>
      </c>
      <c r="D18" s="166" t="str">
        <f>IFERROR(INDEX(Logs!$C$2:$C$500,MATCH('Beneficiaries (2)'!$B18,Logs!$A$2:$A$500,0)),"")</f>
        <v>Baphi</v>
      </c>
      <c r="E18" s="167" t="str">
        <f>IFERROR(INDEX(Logs!$D$2:$D$500,MATCH('Beneficiaries (2)'!$B18,Logs!$A$2:$A$500,0)),"")</f>
        <v>8303037251087</v>
      </c>
      <c r="F18" s="168" t="s">
        <v>125</v>
      </c>
      <c r="G18" s="165" t="str">
        <f>TheGender(E18)</f>
        <v>M</v>
      </c>
      <c r="H18" s="165" t="s">
        <v>125</v>
      </c>
      <c r="I18" s="165" t="s">
        <v>126</v>
      </c>
      <c r="J18" s="165" t="str">
        <f>IFERROR(INDEX(Logs!$E$2:$E$500,MATCH('Beneficiaries (2)'!$B18,Logs!$A$2:$A$500,0)),"")</f>
        <v>12/09/0013</v>
      </c>
      <c r="K18" s="165" t="str">
        <f>IFERROR(INDEX(Logs!$F$2:$F$500,MATCH('Beneficiaries (2)'!$B18,Logs!$A$2:$A$500,0)),"")</f>
        <v>30/09/2023</v>
      </c>
      <c r="L18" s="165">
        <f>IFERROR(INDEX(Logs!$G$2:$G$500,MATCH('Beneficiaries (2)'!$B18,Logs!$A$2:$A$500,0)),0)</f>
        <v>18</v>
      </c>
      <c r="M18" s="165">
        <v>0</v>
      </c>
      <c r="N18" s="165">
        <f>L18+M18</f>
        <v>18</v>
      </c>
      <c r="O18" s="171">
        <f>IFERROR(INDEX(Logs!$H$2:$H$500,MATCH('Beneficiaries (2)'!$B18,Logs!$A$2:$A$500,0)),)</f>
        <v>204.16</v>
      </c>
      <c r="P18" s="172">
        <f>IFERROR(N18*O18,0)</f>
        <v>3674.88</v>
      </c>
      <c r="Q18" s="173"/>
    </row>
    <row r="19">
      <c r="A19" s="144" t="str">
        <f>ID_Valid(E19)</f>
      </c>
      <c r="B19" s="165">
        <v>30</v>
      </c>
      <c r="C19" s="166" t="str">
        <f>IFERROR(INDEX(Logs!$B$2:$B$500,MATCH('Beneficiaries (2)'!$B19,Logs!$A$2:$A$500,0)),"")</f>
        <v>Ntombesiphelo</v>
      </c>
      <c r="D19" s="166" t="str">
        <f>IFERROR(INDEX(Logs!$C$2:$C$500,MATCH('Beneficiaries (2)'!$B19,Logs!$A$2:$A$500,0)),"")</f>
        <v>Diniso</v>
      </c>
      <c r="E19" s="167" t="str">
        <f>IFERROR(INDEX(Logs!$D$2:$D$500,MATCH('Beneficiaries (2)'!$B19,Logs!$A$2:$A$500,0)),"")</f>
        <v>9903201025083</v>
      </c>
      <c r="F19" s="168" t="s">
        <v>125</v>
      </c>
      <c r="G19" s="165" t="str">
        <f>TheGender(E19)</f>
        <v>F</v>
      </c>
      <c r="H19" s="165" t="s">
        <v>125</v>
      </c>
      <c r="I19" s="165" t="s">
        <v>126</v>
      </c>
      <c r="J19" s="165" t="str">
        <f>IFERROR(INDEX(Logs!$E$2:$E$500,MATCH('Beneficiaries (2)'!$B19,Logs!$A$2:$A$500,0)),"")</f>
        <v>01/05/2022</v>
      </c>
      <c r="K19" s="165" t="str">
        <f>IFERROR(INDEX(Logs!$F$2:$F$500,MATCH('Beneficiaries (2)'!$B19,Logs!$A$2:$A$500,0)),"")</f>
        <v>30/09/2023</v>
      </c>
      <c r="L19" s="165">
        <f>IFERROR(INDEX(Logs!$G$2:$G$500,MATCH('Beneficiaries (2)'!$B19,Logs!$A$2:$A$500,0)),0)</f>
        <v>22</v>
      </c>
      <c r="M19" s="165">
        <v>0</v>
      </c>
      <c r="N19" s="165">
        <f>L19+M19</f>
        <v>22</v>
      </c>
      <c r="O19" s="171">
        <f>IFERROR(INDEX(Logs!$H$2:$H$500,MATCH('Beneficiaries (2)'!$B19,Logs!$A$2:$A$500,0)),)</f>
        <v>204.16</v>
      </c>
      <c r="P19" s="172">
        <f>IFERROR(N19*O19,0)</f>
        <v>4491.5199999999995</v>
      </c>
      <c r="Q19" s="173"/>
    </row>
    <row r="20">
      <c r="A20" s="144" t="str">
        <f>ID_Valid(E20)</f>
      </c>
      <c r="B20" s="165">
        <v>31</v>
      </c>
      <c r="C20" s="166" t="str">
        <f>IFERROR(INDEX(Logs!$B$2:$B$500,MATCH('Beneficiaries (2)'!$B20,Logs!$A$2:$A$500,0)),"")</f>
        <v>Ntombizonke</v>
      </c>
      <c r="D20" s="166" t="str">
        <f>IFERROR(INDEX(Logs!$C$2:$C$500,MATCH('Beneficiaries (2)'!$B20,Logs!$A$2:$A$500,0)),"")</f>
        <v>Mkhetshane`</v>
      </c>
      <c r="E20" s="167" t="str">
        <f>IFERROR(INDEX(Logs!$D$2:$D$500,MATCH('Beneficiaries (2)'!$B20,Logs!$A$2:$A$500,0)),"")</f>
        <v>8209131449083</v>
      </c>
      <c r="F20" s="168" t="s">
        <v>125</v>
      </c>
      <c r="G20" s="165" t="str">
        <f>TheGender(E20)</f>
        <v>F</v>
      </c>
      <c r="H20" s="165" t="s">
        <v>125</v>
      </c>
      <c r="I20" s="165" t="s">
        <v>126</v>
      </c>
      <c r="J20" s="165" t="str">
        <f>IFERROR(INDEX(Logs!$E$2:$E$500,MATCH('Beneficiaries (2)'!$B20,Logs!$A$2:$A$500,0)),"")</f>
        <v>13/12/0006</v>
      </c>
      <c r="K20" s="165" t="str">
        <f>IFERROR(INDEX(Logs!$F$2:$F$500,MATCH('Beneficiaries (2)'!$B20,Logs!$A$2:$A$500,0)),"")</f>
        <v>30/09/2023</v>
      </c>
      <c r="L20" s="165">
        <f>IFERROR(INDEX(Logs!$G$2:$G$500,MATCH('Beneficiaries (2)'!$B20,Logs!$A$2:$A$500,0)),0)</f>
        <v>22</v>
      </c>
      <c r="M20" s="165">
        <v>0</v>
      </c>
      <c r="N20" s="165">
        <f>L20+M20</f>
        <v>22</v>
      </c>
      <c r="O20" s="171">
        <f>IFERROR(INDEX(Logs!$H$2:$H$500,MATCH('Beneficiaries (2)'!$B20,Logs!$A$2:$A$500,0)),)</f>
        <v>204.16</v>
      </c>
      <c r="P20" s="172">
        <f>IFERROR(N20*O20,0)</f>
        <v>4491.5199999999995</v>
      </c>
      <c r="Q20" s="173"/>
    </row>
    <row r="21">
      <c r="A21" s="144" t="str">
        <f>ID_Valid(E21)</f>
      </c>
      <c r="B21" s="165">
        <v>32</v>
      </c>
      <c r="C21" s="166" t="str">
        <f>IFERROR(INDEX(Logs!$B$2:$B$500,MATCH('Beneficiaries (2)'!$B21,Logs!$A$2:$A$500,0)),"")</f>
        <v>Dunyiswa</v>
      </c>
      <c r="D21" s="166" t="str">
        <f>IFERROR(INDEX(Logs!$C$2:$C$500,MATCH('Beneficiaries (2)'!$B21,Logs!$A$2:$A$500,0)),"")</f>
        <v>Ngxabazi</v>
      </c>
      <c r="E21" s="167" t="str">
        <f>IFERROR(INDEX(Logs!$D$2:$D$500,MATCH('Beneficiaries (2)'!$B21,Logs!$A$2:$A$500,0)),"")</f>
        <v>8302270712088</v>
      </c>
      <c r="F21" s="168" t="s">
        <v>125</v>
      </c>
      <c r="G21" s="165" t="str">
        <f>TheGender(E21)</f>
        <v>F</v>
      </c>
      <c r="H21" s="165" t="s">
        <v>125</v>
      </c>
      <c r="I21" s="165" t="s">
        <v>126</v>
      </c>
      <c r="J21" s="165" t="str">
        <f>IFERROR(INDEX(Logs!$E$2:$E$500,MATCH('Beneficiaries (2)'!$B21,Logs!$A$2:$A$500,0)),"")</f>
        <v>12/02/0007</v>
      </c>
      <c r="K21" s="165" t="str">
        <f>IFERROR(INDEX(Logs!$F$2:$F$500,MATCH('Beneficiaries (2)'!$B21,Logs!$A$2:$A$500,0)),"")</f>
        <v>30/09/2023</v>
      </c>
      <c r="L21" s="165">
        <f>IFERROR(INDEX(Logs!$G$2:$G$500,MATCH('Beneficiaries (2)'!$B21,Logs!$A$2:$A$500,0)),0)</f>
        <v>17</v>
      </c>
      <c r="M21" s="165">
        <v>0</v>
      </c>
      <c r="N21" s="165">
        <f>L21+M21</f>
        <v>17</v>
      </c>
      <c r="O21" s="171">
        <f>IFERROR(INDEX(Logs!$H$2:$H$500,MATCH('Beneficiaries (2)'!$B21,Logs!$A$2:$A$500,0)),)</f>
        <v>204.16</v>
      </c>
      <c r="P21" s="172">
        <f>IFERROR(N21*O21,0)</f>
        <v>3470.72</v>
      </c>
      <c r="Q21" s="173"/>
    </row>
    <row r="22">
      <c r="A22" s="144" t="str">
        <f>ID_Valid(E22)</f>
      </c>
      <c r="B22" s="165">
        <v>33</v>
      </c>
      <c r="C22" s="174" t="str">
        <f>IFERROR(INDEX(Logs!$B$2:$B$500,MATCH('Beneficiaries (2)'!$B22,Logs!$A$2:$A$500,0)),"")</f>
        <v>Nomakhaya</v>
      </c>
      <c r="D22" s="166" t="str">
        <f>IFERROR(INDEX(Logs!$C$2:$C$500,MATCH('Beneficiaries (2)'!$B22,Logs!$A$2:$A$500,0)),"")</f>
        <v>Sinkwane</v>
      </c>
      <c r="E22" s="167" t="str">
        <f>IFERROR(INDEX(Logs!$D$2:$D$500,MATCH('Beneficiaries (2)'!$B22,Logs!$A$2:$A$500,0)),"")</f>
        <v>8306061336080</v>
      </c>
      <c r="F22" s="168" t="s">
        <v>125</v>
      </c>
      <c r="G22" s="165" t="str">
        <f>TheGender(E22)</f>
        <v>F</v>
      </c>
      <c r="H22" s="165" t="s">
        <v>125</v>
      </c>
      <c r="I22" s="165" t="s">
        <v>126</v>
      </c>
      <c r="J22" s="165" t="str">
        <f>IFERROR(INDEX(Logs!$E$2:$E$500,MATCH('Beneficiaries (2)'!$B22,Logs!$A$2:$A$500,0)),"")</f>
        <v>12/02/0007</v>
      </c>
      <c r="K22" s="165" t="str">
        <f>IFERROR(INDEX(Logs!$F$2:$F$500,MATCH('Beneficiaries (2)'!$B22,Logs!$A$2:$A$500,0)),"")</f>
        <v>30/09/2023</v>
      </c>
      <c r="L22" s="165">
        <f>IFERROR(INDEX(Logs!$G$2:$G$500,MATCH('Beneficiaries (2)'!$B22,Logs!$A$2:$A$500,0)),0)</f>
        <v>17</v>
      </c>
      <c r="M22" s="165">
        <v>0</v>
      </c>
      <c r="N22" s="165">
        <f>L22+M22</f>
        <v>17</v>
      </c>
      <c r="O22" s="171">
        <f>IFERROR(INDEX(Logs!$H$2:$H$500,MATCH('Beneficiaries (2)'!$B22,Logs!$A$2:$A$500,0)),)</f>
        <v>204.16</v>
      </c>
      <c r="P22" s="172">
        <f>IFERROR(N22*O22,0)</f>
        <v>3470.72</v>
      </c>
      <c r="Q22" s="173"/>
    </row>
    <row r="23">
      <c r="A23" s="144" t="str">
        <f>ID_Valid(E23)</f>
        <v>INVALID ID - Check Digit</v>
      </c>
      <c r="B23" s="165">
        <v>34</v>
      </c>
      <c r="C23" s="174" t="str">
        <f>IFERROR(INDEX(Logs!$B$2:$B$500,MATCH('Beneficiaries (2)'!$B23,Logs!$A$2:$A$500,0)),"")</f>
        <v>Dywayda</v>
      </c>
      <c r="D23" s="166" t="str">
        <f>IFERROR(INDEX(Logs!$C$2:$C$500,MATCH('Beneficiaries (2)'!$B23,Logs!$A$2:$A$500,0)),"")</f>
        <v>Shumi</v>
      </c>
      <c r="E23" s="167" t="str">
        <f>IFERROR(INDEX(Logs!$D$2:$D$500,MATCH('Beneficiaries (2)'!$B23,Logs!$A$2:$A$500,0)),"")</f>
        <v>9402201606082</v>
      </c>
      <c r="F23" s="168" t="s">
        <v>125</v>
      </c>
      <c r="G23" s="165" t="str">
        <f>TheGender(E23)</f>
        <v>F</v>
      </c>
      <c r="H23" s="165" t="s">
        <v>125</v>
      </c>
      <c r="I23" s="165" t="s">
        <v>126</v>
      </c>
      <c r="J23" s="165" t="str">
        <f>IFERROR(INDEX(Logs!$E$2:$E$500,MATCH('Beneficiaries (2)'!$B23,Logs!$A$2:$A$500,0)),"")</f>
        <v>12/02/0007</v>
      </c>
      <c r="K23" s="165" t="str">
        <f>IFERROR(INDEX(Logs!$F$2:$F$500,MATCH('Beneficiaries (2)'!$B23,Logs!$A$2:$A$500,0)),"")</f>
        <v>30/09/2023</v>
      </c>
      <c r="L23" s="165">
        <f>IFERROR(INDEX(Logs!$G$2:$G$500,MATCH('Beneficiaries (2)'!$B23,Logs!$A$2:$A$500,0)),0)</f>
        <v>22</v>
      </c>
      <c r="M23" s="165">
        <v>0</v>
      </c>
      <c r="N23" s="165">
        <f>L23+M23</f>
        <v>22</v>
      </c>
      <c r="O23" s="171">
        <f>IFERROR(INDEX(Logs!$H$2:$H$500,MATCH('Beneficiaries (2)'!$B23,Logs!$A$2:$A$500,0)),)</f>
        <v>204.16</v>
      </c>
      <c r="P23" s="172">
        <f>IFERROR(N23*O23,0)</f>
        <v>4491.5199999999995</v>
      </c>
      <c r="Q23" s="173"/>
    </row>
    <row r="24">
      <c r="A24" s="144" t="str">
        <f>ID_Valid(E24)</f>
      </c>
      <c r="B24" s="165">
        <v>35</v>
      </c>
      <c r="C24" s="174" t="str">
        <f>IFERROR(INDEX(Logs!$B$2:$B$500,MATCH('Beneficiaries (2)'!$B24,Logs!$A$2:$A$500,0)),"")</f>
        <v>Natasha</v>
      </c>
      <c r="D24" s="166" t="str">
        <f>IFERROR(INDEX(Logs!$C$2:$C$500,MATCH('Beneficiaries (2)'!$B24,Logs!$A$2:$A$500,0)),"")</f>
        <v>Bailey</v>
      </c>
      <c r="E24" s="167" t="str">
        <f>IFERROR(INDEX(Logs!$D$2:$D$500,MATCH('Beneficiaries (2)'!$B24,Logs!$A$2:$A$500,0)),"")</f>
        <v>8203140178080</v>
      </c>
      <c r="F24" s="168" t="s">
        <v>125</v>
      </c>
      <c r="G24" s="165" t="str">
        <f>TheGender(E24)</f>
        <v>F</v>
      </c>
      <c r="H24" s="165" t="s">
        <v>125</v>
      </c>
      <c r="I24" s="165" t="s">
        <v>126</v>
      </c>
      <c r="J24" s="165" t="str">
        <f>IFERROR(INDEX(Logs!$E$2:$E$500,MATCH('Beneficiaries (2)'!$B24,Logs!$A$2:$A$500,0)),"")</f>
        <v>12/02/0007</v>
      </c>
      <c r="K24" s="165" t="str">
        <f>IFERROR(INDEX(Logs!$F$2:$F$500,MATCH('Beneficiaries (2)'!$B24,Logs!$A$2:$A$500,0)),"")</f>
        <v>30/09/2023</v>
      </c>
      <c r="L24" s="165">
        <f>IFERROR(INDEX(Logs!$G$2:$G$500,MATCH('Beneficiaries (2)'!$B24,Logs!$A$2:$A$500,0)),0)</f>
        <v>22</v>
      </c>
      <c r="M24" s="165">
        <v>0</v>
      </c>
      <c r="N24" s="165">
        <f>L24+M24</f>
        <v>22</v>
      </c>
      <c r="O24" s="171">
        <f>IFERROR(INDEX(Logs!$H$2:$H$500,MATCH('Beneficiaries (2)'!$B24,Logs!$A$2:$A$500,0)),)</f>
        <v>204.16</v>
      </c>
      <c r="P24" s="172">
        <f>IFERROR(N24*O24,0)</f>
        <v>4491.5199999999995</v>
      </c>
      <c r="Q24" s="173"/>
    </row>
    <row r="25">
      <c r="A25" s="144" t="str">
        <f>ID_Valid(E25)</f>
      </c>
      <c r="B25" s="165">
        <v>36</v>
      </c>
      <c r="C25" s="170" t="str">
        <f>IFERROR(INDEX(Logs!$B$2:$B$500,MATCH('Beneficiaries (2)'!$B25,Logs!$A$2:$A$500,0)),"")</f>
        <v>Fatima</v>
      </c>
      <c r="D25" s="166" t="str">
        <f>IFERROR(INDEX(Logs!$C$2:$C$500,MATCH('Beneficiaries (2)'!$B25,Logs!$A$2:$A$500,0)),"")</f>
        <v>Faro</v>
      </c>
      <c r="E25" s="167" t="str">
        <f>IFERROR(INDEX(Logs!$D$2:$D$500,MATCH('Beneficiaries (2)'!$B25,Logs!$A$2:$A$500,0)),"")</f>
        <v>9312160820080</v>
      </c>
      <c r="F25" s="168" t="s">
        <v>125</v>
      </c>
      <c r="G25" s="165" t="str">
        <f>TheGender(E25)</f>
        <v>F</v>
      </c>
      <c r="H25" s="165" t="s">
        <v>125</v>
      </c>
      <c r="I25" s="165" t="s">
        <v>126</v>
      </c>
      <c r="J25" s="165" t="str">
        <f>IFERROR(INDEX(Logs!$E$2:$E$500,MATCH('Beneficiaries (2)'!$B25,Logs!$A$2:$A$500,0)),"")</f>
        <v>12/02/0007</v>
      </c>
      <c r="K25" s="165" t="str">
        <f>IFERROR(INDEX(Logs!$F$2:$F$500,MATCH('Beneficiaries (2)'!$B25,Logs!$A$2:$A$500,0)),"")</f>
        <v>30/09/2023</v>
      </c>
      <c r="L25" s="165">
        <f>IFERROR(INDEX(Logs!$G$2:$G$500,MATCH('Beneficiaries (2)'!$B25,Logs!$A$2:$A$500,0)),0)</f>
        <v>17</v>
      </c>
      <c r="M25" s="165">
        <v>0</v>
      </c>
      <c r="N25" s="165">
        <f>L25+M25</f>
        <v>17</v>
      </c>
      <c r="O25" s="171">
        <f>IFERROR(INDEX(Logs!$H$2:$H$500,MATCH('Beneficiaries (2)'!$B25,Logs!$A$2:$A$500,0)),)</f>
        <v>204.16</v>
      </c>
      <c r="P25" s="172">
        <f>IFERROR(N25*O25,0)</f>
        <v>3470.72</v>
      </c>
      <c r="Q25" s="173"/>
    </row>
    <row r="26">
      <c r="A26" s="144" t="str">
        <f>ID_Valid(E26)</f>
      </c>
      <c r="B26" s="165">
        <v>37</v>
      </c>
      <c r="C26" s="170" t="str">
        <f>IFERROR(INDEX(Logs!$B$2:$B$500,MATCH('Beneficiaries (2)'!$B26,Logs!$A$2:$A$500,0)),"")</f>
        <v>Pontso</v>
      </c>
      <c r="D26" s="166" t="str">
        <f>IFERROR(INDEX(Logs!$C$2:$C$500,MATCH('Beneficiaries (2)'!$B26,Logs!$A$2:$A$500,0)),"")</f>
        <v>Sefako</v>
      </c>
      <c r="E26" s="167" t="str">
        <f>IFERROR(INDEX(Logs!$D$2:$D$500,MATCH('Beneficiaries (2)'!$B26,Logs!$A$2:$A$500,0)),"")</f>
        <v>8307251069085</v>
      </c>
      <c r="F26" s="168" t="s">
        <v>125</v>
      </c>
      <c r="G26" s="165" t="str">
        <f>TheGender(E26)</f>
        <v>F</v>
      </c>
      <c r="H26" s="165" t="s">
        <v>125</v>
      </c>
      <c r="I26" s="165" t="s">
        <v>126</v>
      </c>
      <c r="J26" s="165" t="str">
        <f>IFERROR(INDEX(Logs!$E$2:$E$500,MATCH('Beneficiaries (2)'!$B26,Logs!$A$2:$A$500,0)),"")</f>
        <v>12/02/0007</v>
      </c>
      <c r="K26" s="165" t="str">
        <f>IFERROR(INDEX(Logs!$F$2:$F$500,MATCH('Beneficiaries (2)'!$B26,Logs!$A$2:$A$500,0)),"")</f>
        <v>30/09/2023</v>
      </c>
      <c r="L26" s="165">
        <f>IFERROR(INDEX(Logs!$G$2:$G$500,MATCH('Beneficiaries (2)'!$B26,Logs!$A$2:$A$500,0)),0)</f>
        <v>17</v>
      </c>
      <c r="M26" s="165">
        <v>0</v>
      </c>
      <c r="N26" s="165">
        <f>L26+M26</f>
        <v>17</v>
      </c>
      <c r="O26" s="171">
        <f>IFERROR(INDEX(Logs!$H$2:$H$500,MATCH('Beneficiaries (2)'!$B26,Logs!$A$2:$A$500,0)),)</f>
        <v>204.16</v>
      </c>
      <c r="P26" s="172">
        <f>IFERROR(N26*O26,0)</f>
        <v>3470.72</v>
      </c>
      <c r="Q26" s="173"/>
    </row>
    <row r="27">
      <c r="A27" s="144" t="str">
        <f>ID_Valid(E27)</f>
      </c>
      <c r="B27" s="165">
        <v>38</v>
      </c>
      <c r="C27" s="170" t="str">
        <f>IFERROR(INDEX(Logs!$B$2:$B$500,MATCH('Beneficiaries (2)'!$B27,Logs!$A$2:$A$500,0)),"")</f>
        <v>Jasmine</v>
      </c>
      <c r="D27" s="166" t="str">
        <f>IFERROR(INDEX(Logs!$C$2:$C$500,MATCH('Beneficiaries (2)'!$B27,Logs!$A$2:$A$500,0)),"")</f>
        <v>Andries</v>
      </c>
      <c r="E27" s="167" t="str">
        <f>IFERROR(INDEX(Logs!$D$2:$D$500,MATCH('Beneficiaries (2)'!$B27,Logs!$A$2:$A$500,0)),"")</f>
        <v>9301220393089</v>
      </c>
      <c r="F27" s="168" t="s">
        <v>125</v>
      </c>
      <c r="G27" s="165" t="str">
        <f>TheGender(E27)</f>
        <v>F</v>
      </c>
      <c r="H27" s="165" t="s">
        <v>125</v>
      </c>
      <c r="I27" s="165" t="s">
        <v>126</v>
      </c>
      <c r="J27" s="165" t="str">
        <f>IFERROR(INDEX(Logs!$E$2:$E$500,MATCH('Beneficiaries (2)'!$B27,Logs!$A$2:$A$500,0)),"")</f>
        <v>12/02/0007</v>
      </c>
      <c r="K27" s="165" t="str">
        <f>IFERROR(INDEX(Logs!$F$2:$F$500,MATCH('Beneficiaries (2)'!$B27,Logs!$A$2:$A$500,0)),"")</f>
        <v>30/09/2023</v>
      </c>
      <c r="L27" s="165">
        <f>IFERROR(INDEX(Logs!$G$2:$G$500,MATCH('Beneficiaries (2)'!$B27,Logs!$A$2:$A$500,0)),0)</f>
        <v>17</v>
      </c>
      <c r="M27" s="165">
        <v>0</v>
      </c>
      <c r="N27" s="165">
        <f>L27+M27</f>
        <v>17</v>
      </c>
      <c r="O27" s="171">
        <f>IFERROR(INDEX(Logs!$H$2:$H$500,MATCH('Beneficiaries (2)'!$B27,Logs!$A$2:$A$500,0)),)</f>
        <v>204.16</v>
      </c>
      <c r="P27" s="172">
        <f>IFERROR(N27*O27,0)</f>
        <v>3470.72</v>
      </c>
      <c r="Q27" s="173"/>
    </row>
    <row r="28">
      <c r="A28" s="144" t="str">
        <f>ID_Valid(E28)</f>
      </c>
      <c r="B28" s="165">
        <v>39</v>
      </c>
      <c r="C28" s="170" t="str">
        <f>IFERROR(INDEX(Logs!$B$2:$B$500,MATCH('Beneficiaries (2)'!$B28,Logs!$A$2:$A$500,0)),"")</f>
        <v>Nolusindiso</v>
      </c>
      <c r="D28" s="166" t="str">
        <f>IFERROR(INDEX(Logs!$C$2:$C$500,MATCH('Beneficiaries (2)'!$B28,Logs!$A$2:$A$500,0)),"")</f>
        <v>Sidungulu</v>
      </c>
      <c r="E28" s="167" t="str">
        <f>IFERROR(INDEX(Logs!$D$2:$D$500,MATCH('Beneficiaries (2)'!$B28,Logs!$A$2:$A$500,0)),"")</f>
        <v>8910090785082</v>
      </c>
      <c r="F28" s="168" t="s">
        <v>125</v>
      </c>
      <c r="G28" s="165" t="str">
        <f>TheGender(E28)</f>
        <v>F</v>
      </c>
      <c r="H28" s="165" t="s">
        <v>125</v>
      </c>
      <c r="I28" s="165" t="s">
        <v>126</v>
      </c>
      <c r="J28" s="165" t="str">
        <f>IFERROR(INDEX(Logs!$E$2:$E$500,MATCH('Beneficiaries (2)'!$B28,Logs!$A$2:$A$500,0)),"")</f>
        <v>12/02/0007</v>
      </c>
      <c r="K28" s="165" t="str">
        <f>IFERROR(INDEX(Logs!$F$2:$F$500,MATCH('Beneficiaries (2)'!$B28,Logs!$A$2:$A$500,0)),"")</f>
        <v>30/09/2023</v>
      </c>
      <c r="L28" s="165">
        <f>IFERROR(INDEX(Logs!$G$2:$G$500,MATCH('Beneficiaries (2)'!$B28,Logs!$A$2:$A$500,0)),0)</f>
        <v>26</v>
      </c>
      <c r="M28" s="165">
        <v>0</v>
      </c>
      <c r="N28" s="165">
        <f>L28+M28</f>
        <v>26</v>
      </c>
      <c r="O28" s="171">
        <f>IFERROR(INDEX(Logs!$H$2:$H$500,MATCH('Beneficiaries (2)'!$B28,Logs!$A$2:$A$500,0)),)</f>
        <v>204.16</v>
      </c>
      <c r="P28" s="172">
        <f>IFERROR(N28*O28,0)</f>
        <v>5308.16</v>
      </c>
      <c r="Q28" s="173"/>
    </row>
    <row r="29">
      <c r="A29" s="144" t="str">
        <f>ID_Valid(E29)</f>
      </c>
      <c r="B29" s="165">
        <v>40</v>
      </c>
      <c r="C29" s="170" t="str">
        <f>IFERROR(INDEX(Logs!$B$2:$B$500,MATCH('Beneficiaries (2)'!$B29,Logs!$A$2:$A$500,0)),"")</f>
        <v>Nomthandazo</v>
      </c>
      <c r="D29" s="170" t="str">
        <f>IFERROR(INDEX(Logs!$C$2:$C$500,MATCH('Beneficiaries (2)'!$B29,Logs!$A$2:$A$500,0)),"")</f>
        <v>Keswa</v>
      </c>
      <c r="E29" s="167" t="str">
        <f>IFERROR(INDEX(Logs!$D$2:$D$500,MATCH('Beneficiaries (2)'!$B29,Logs!$A$2:$A$500,0)),"")</f>
        <v>7906190979089</v>
      </c>
      <c r="F29" s="168" t="s">
        <v>125</v>
      </c>
      <c r="G29" s="165" t="str">
        <f>TheGender(E29)</f>
        <v>F</v>
      </c>
      <c r="H29" s="165" t="s">
        <v>125</v>
      </c>
      <c r="I29" s="165" t="s">
        <v>126</v>
      </c>
      <c r="J29" s="165" t="str">
        <f>IFERROR(INDEX(Logs!$E$2:$E$500,MATCH('Beneficiaries (2)'!$B29,Logs!$A$2:$A$500,0)),"")</f>
        <v>01/09/2022</v>
      </c>
      <c r="K29" s="165" t="str">
        <f>IFERROR(INDEX(Logs!$F$2:$F$500,MATCH('Beneficiaries (2)'!$B29,Logs!$A$2:$A$500,0)),"")</f>
        <v>15/03/0036</v>
      </c>
      <c r="L29" s="165">
        <f>IFERROR(INDEX(Logs!$G$2:$G$500,MATCH('Beneficiaries (2)'!$B29,Logs!$A$2:$A$500,0)),0)</f>
        <v>17</v>
      </c>
      <c r="M29" s="165">
        <v>0</v>
      </c>
      <c r="N29" s="165">
        <f>L29+M29</f>
        <v>17</v>
      </c>
      <c r="O29" s="171">
        <f>IFERROR(INDEX(Logs!$H$2:$H$500,MATCH('Beneficiaries (2)'!$B29,Logs!$A$2:$A$500,0)),)</f>
        <v>204.16</v>
      </c>
      <c r="P29" s="172">
        <f>IFERROR(N29*O29,0)</f>
        <v>3470.72</v>
      </c>
      <c r="Q29" s="173"/>
    </row>
    <row r="30">
      <c r="A30" s="144" t="s"/>
      <c r="B30" s="175"/>
      <c r="C30" s="175"/>
      <c r="D30" s="175"/>
      <c r="E30" s="175"/>
      <c r="F30" s="175"/>
      <c r="G30" s="175"/>
      <c r="H30" s="175"/>
      <c r="I30" s="175"/>
      <c r="J30" s="175"/>
      <c r="K30" s="175"/>
      <c r="L30" s="176">
        <f>SUM(L10:L29)</f>
        <v>420</v>
      </c>
      <c r="M30" s="176">
        <f>SUM(M10:M29)</f>
        <v>0</v>
      </c>
      <c r="N30" s="176">
        <f>SUM(N10:N29)</f>
        <v>420</v>
      </c>
      <c r="O30" s="177">
        <f>SUM(O10:O29)</f>
        <v>4097.119999999999</v>
      </c>
      <c r="P30" s="178">
        <f>SUM(P10:P29)</f>
        <v>85983.840000000011</v>
      </c>
      <c r="Q30" s="179"/>
    </row>
    <row r="31" ht="27" customHeight="true">
      <c r="A31" s="144" t="s"/>
      <c r="B31" s="180" t="s">
        <v>127</v>
      </c>
      <c r="C31" s="180"/>
      <c r="D31" s="181" t="s">
        <v>128</v>
      </c>
      <c r="E31" s="153" t="str">
        <f>Project!$G$30</f>
        <v>Benjamin Milandou-Loubeka</v>
      </c>
      <c r="F31" s="153"/>
      <c r="G31" s="153"/>
      <c r="H31" s="153" t="s">
        <v>129</v>
      </c>
      <c r="I31" s="157"/>
      <c r="J31" s="157"/>
      <c r="K31" s="157"/>
      <c r="L31" s="157"/>
      <c r="M31" s="157"/>
      <c r="N31" s="157"/>
      <c r="O31" s="157"/>
      <c r="P31" s="157"/>
      <c r="Q31" s="14"/>
    </row>
    <row r="32" ht="27" customHeight="true">
      <c r="A32" s="144" t="s"/>
      <c r="B32" s="180"/>
      <c r="C32" s="180"/>
      <c r="D32" s="181" t="s">
        <v>130</v>
      </c>
      <c r="E32" s="182">
        <f>Project!$AN$1</f>
        <v>45199</v>
      </c>
      <c r="F32" s="182"/>
      <c r="G32" s="182"/>
      <c r="H32" s="153"/>
      <c r="I32" s="157"/>
      <c r="J32" s="157"/>
      <c r="K32" s="157"/>
      <c r="L32" s="157"/>
      <c r="M32" s="157"/>
      <c r="N32" s="157"/>
      <c r="O32" s="157"/>
      <c r="P32" s="157"/>
      <c r="Q32" s="14"/>
    </row>
    <row r="33" ht="14.25" customHeight="true">
      <c r="A33" s="144" t="s"/>
      <c r="B33" s="158"/>
      <c r="C33" s="158"/>
      <c r="D33" s="183"/>
      <c r="E33" s="14"/>
      <c r="F33" s="14"/>
      <c r="G33" s="14"/>
      <c r="H33" s="148"/>
      <c r="I33" s="14"/>
      <c r="J33" s="14"/>
      <c r="K33" s="14"/>
      <c r="L33" s="14"/>
      <c r="M33" s="14"/>
      <c r="N33" s="14"/>
      <c r="O33" s="14"/>
      <c r="P33" s="14"/>
      <c r="Q33" s="14"/>
    </row>
    <row r="34" ht="27" customHeight="true">
      <c r="A34" s="144" t="s"/>
      <c r="B34" s="180" t="s">
        <v>131</v>
      </c>
      <c r="C34" s="180"/>
      <c r="D34" s="181" t="s">
        <v>128</v>
      </c>
      <c r="E34" s="157"/>
      <c r="F34" s="157"/>
      <c r="G34" s="157"/>
      <c r="H34" s="153" t="s">
        <v>129</v>
      </c>
      <c r="I34" s="157"/>
      <c r="J34" s="157"/>
      <c r="K34" s="157"/>
      <c r="L34" s="157"/>
      <c r="M34" s="157"/>
      <c r="N34" s="157"/>
      <c r="O34" s="157"/>
      <c r="P34" s="157"/>
      <c r="Q34" s="14"/>
    </row>
    <row r="35" ht="27" customHeight="true">
      <c r="A35" s="144" t="s"/>
      <c r="B35" s="180"/>
      <c r="C35" s="180"/>
      <c r="D35" s="181" t="s">
        <v>130</v>
      </c>
      <c r="E35" s="157"/>
      <c r="F35" s="157"/>
      <c r="G35" s="157"/>
      <c r="H35" s="153"/>
      <c r="I35" s="157"/>
      <c r="J35" s="157"/>
      <c r="K35" s="157"/>
      <c r="L35" s="157"/>
      <c r="M35" s="157"/>
      <c r="N35" s="157"/>
      <c r="O35" s="157"/>
      <c r="P35" s="157"/>
      <c r="Q35" s="14"/>
    </row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>
      <c r="A74" s="144" t="s"/>
      <c r="B74" s="14"/>
    </row>
  </sheetData>
  <dataValidations count="1">
    <dataValidation allowBlank="true" showInputMessage="true" showErrorMessage="true" promptTitle="Month" type="" sqref="I6">
      <formula1/>
    </dataValidation>
  </dataValidations>
  <mergeCells count="14">
    <mergeCell ref="B3:P3"/>
    <mergeCell ref="B5:C6"/>
    <mergeCell ref="D5:E6"/>
    <mergeCell ref="K5:M5"/>
    <mergeCell ref="B31:C32"/>
    <mergeCell ref="E31:G31"/>
    <mergeCell ref="H31:H32"/>
    <mergeCell ref="I31:P32"/>
    <mergeCell ref="E32:G32"/>
    <mergeCell ref="B34:C35"/>
    <mergeCell ref="E34:G34"/>
    <mergeCell ref="H34:H35"/>
    <mergeCell ref="I34:P35"/>
    <mergeCell ref="E35:G35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>
  <sheetPr filterMode="false">
    <pageSetUpPr fitToPage="false"/>
  </sheetPr>
  <dimension ref="A1:R74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85546875" defaultRowHeight="12.75"/>
  <cols>
    <col collapsed="false" hidden="false" max="1" min="1" style="144" width="20.7109375" customWidth="true"/>
    <col collapsed="false" hidden="false" max="2" min="2" style="1" width="4.42578125" customWidth="true"/>
    <col collapsed="false" hidden="false" max="5" min="3" style="1" width="24.42578125" customWidth="true"/>
    <col collapsed="false" hidden="false" max="5" min="3" style="1" width="24.42578125" customWidth="true"/>
    <col collapsed="false" hidden="false" max="5" min="3" style="1" width="24.42578125" customWidth="true"/>
    <col collapsed="false" hidden="false" max="6" min="6" style="1" width="10.140625" customWidth="true"/>
    <col collapsed="false" hidden="false" max="9" min="7" style="1" width="8.85546875" customWidth="true"/>
    <col collapsed="false" hidden="false" max="9" min="7" style="1" width="8.85546875" customWidth="true"/>
    <col collapsed="false" hidden="false" max="9" min="7" style="1" width="8.85546875" customWidth="true"/>
    <col collapsed="false" hidden="false" max="11" min="10" style="1" width="10.140625" customWidth="true"/>
    <col collapsed="false" hidden="false" max="11" min="10" style="1" width="10.14062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7" min="16" style="1" width="14.5703125" customWidth="true"/>
    <col collapsed="false" hidden="false" max="17" min="16" style="1" width="14.5703125" customWidth="true"/>
    <col collapsed="false" hidden="false" max="18" min="18" style="145" width="8.85546875" customWidth="true"/>
  </cols>
  <sheetData>
    <row r="1">
      <c r="A1" s="144" t="s"/>
      <c r="B1" s="146" t="s">
        <v>96</v>
      </c>
      <c r="C1" s="2"/>
      <c r="D1" s="2"/>
      <c r="E1" s="147" t="s">
        <v>2</v>
      </c>
      <c r="F1" s="1" t="s"/>
      <c r="G1" s="2"/>
      <c r="H1" s="2"/>
      <c r="I1" s="2"/>
      <c r="J1" s="1" t="s"/>
      <c r="K1" s="1" t="s"/>
      <c r="L1" s="1" t="s"/>
      <c r="M1" s="1" t="s"/>
      <c r="N1" s="1" t="s"/>
      <c r="O1" s="1" t="s"/>
      <c r="P1" s="1" t="s"/>
      <c r="Q1" s="1" t="s"/>
      <c r="R1" s="11">
        <f>IF(Beneficiaries!$P$30&gt;0,1,"")</f>
        <v>1</v>
      </c>
    </row>
    <row r="2">
      <c r="A2" s="144" t="s"/>
      <c r="B2" s="1" t="s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11">
        <f>IF('Beneficiaries (2)'!$P$30&gt;0,1,"")</f>
        <v>1</v>
      </c>
    </row>
    <row r="3">
      <c r="A3" s="144" t="s"/>
      <c r="B3" s="148" t="s">
        <v>97</v>
      </c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1">
        <f>IF('Beneficiaries (3)'!$P$30&gt;0,1,"")</f>
        <v>1</v>
      </c>
    </row>
    <row r="4">
      <c r="A4" s="144" t="s"/>
      <c r="B4" s="1" t="s"/>
      <c r="C4" s="146"/>
      <c r="D4" s="146"/>
      <c r="E4" s="146"/>
      <c r="F4" s="146"/>
      <c r="G4" s="146"/>
      <c r="H4" s="1" t="s"/>
      <c r="I4" s="1" t="s"/>
      <c r="J4" s="1" t="s"/>
      <c r="K4" s="1" t="s"/>
      <c r="L4" s="1" t="s"/>
      <c r="M4" s="1" t="s"/>
      <c r="N4" s="1" t="s"/>
      <c r="O4" s="1" t="s"/>
      <c r="P4" s="1" t="s"/>
      <c r="Q4" s="1" t="s"/>
      <c r="R4" s="11">
        <f>IF('Beneficiaries (4)'!$P$30&gt;0,1,"")</f>
        <v>1</v>
      </c>
    </row>
    <row r="5" ht="12.75" customHeight="true">
      <c r="A5" s="144" t="s"/>
      <c r="B5" s="149" t="s">
        <v>98</v>
      </c>
      <c r="C5" s="150"/>
      <c r="D5" s="151" t="str">
        <f>Project!$Z$25</f>
        <v>WSDS/24/111i</v>
      </c>
      <c r="E5" s="151"/>
      <c r="F5" s="152"/>
      <c r="G5" s="1" t="s"/>
      <c r="H5" s="153" t="s">
        <v>99</v>
      </c>
      <c r="I5" s="153" t="s">
        <v>100</v>
      </c>
      <c r="J5" s="146"/>
      <c r="K5" s="154" t="s">
        <v>101</v>
      </c>
      <c r="L5" s="154"/>
      <c r="M5" s="154"/>
      <c r="N5" s="39"/>
      <c r="O5" s="39"/>
      <c r="P5" s="146"/>
      <c r="Q5" s="146"/>
      <c r="R5" s="11">
        <f>IF('Beneficiaries (5)'!$P$30&gt;0,1,"")</f>
        <v>1</v>
      </c>
    </row>
    <row r="6">
      <c r="A6" s="144" t="s"/>
      <c r="B6" s="155"/>
      <c r="C6" s="156"/>
      <c r="D6" s="151"/>
      <c r="E6" s="151"/>
      <c r="F6" s="152"/>
      <c r="G6" s="1" t="s"/>
      <c r="H6" s="109" t="str">
        <f>TEXT(Project!$AN$1,"YYYY")</f>
        <v>2023</v>
      </c>
      <c r="I6" s="109" t="str">
        <f>TEXT(Project!$AN$1,"MMMM")</f>
        <v>September</v>
      </c>
      <c r="J6" s="7"/>
      <c r="K6" s="157">
        <v>1</v>
      </c>
      <c r="L6" s="154" t="s">
        <v>102</v>
      </c>
      <c r="M6" s="154">
        <f>IF(K6&gt;0,COUNT(R1:R20),"")</f>
        <v>14</v>
      </c>
      <c r="N6" s="39"/>
      <c r="O6" s="39"/>
      <c r="P6" s="14"/>
      <c r="Q6" s="14"/>
      <c r="R6" s="11">
        <f>IF('Beneficiaries (6)'!$P$30&gt;0,1,"")</f>
        <v>1</v>
      </c>
    </row>
    <row r="7">
      <c r="A7" s="144" t="s"/>
      <c r="B7" s="158"/>
      <c r="C7" s="158"/>
      <c r="D7" s="158"/>
      <c r="E7" s="14"/>
      <c r="F7" s="14"/>
      <c r="G7" s="1" t="s"/>
      <c r="H7" s="7"/>
      <c r="I7" s="7"/>
      <c r="J7" s="7"/>
      <c r="K7" s="14"/>
      <c r="L7" s="39"/>
      <c r="M7" s="39"/>
      <c r="N7" s="39"/>
      <c r="O7" s="39"/>
      <c r="P7" s="14"/>
      <c r="Q7" s="14"/>
      <c r="R7" s="11">
        <f>IF('Beneficiaries (7)'!$P$30&gt;0,1,"")</f>
        <v>1</v>
      </c>
    </row>
    <row r="8">
      <c r="A8" s="144" t="s"/>
      <c r="B8" s="159"/>
      <c r="C8" s="160" t="s">
        <v>103</v>
      </c>
      <c r="D8" s="160" t="s">
        <v>103</v>
      </c>
      <c r="E8" s="160" t="s">
        <v>103</v>
      </c>
      <c r="F8" s="160" t="s">
        <v>104</v>
      </c>
      <c r="G8" s="159"/>
      <c r="H8" s="159"/>
      <c r="I8" s="160" t="s">
        <v>105</v>
      </c>
      <c r="J8" s="159"/>
      <c r="K8" s="160" t="s">
        <v>106</v>
      </c>
      <c r="L8" s="160" t="s">
        <v>107</v>
      </c>
      <c r="M8" s="160" t="s">
        <v>108</v>
      </c>
      <c r="N8" s="160"/>
      <c r="O8" s="160" t="s">
        <v>109</v>
      </c>
      <c r="P8" s="160"/>
      <c r="Q8" s="161"/>
      <c r="R8" s="11">
        <f>IF('Beneficiaries (8)'!$P$30&gt;0,1,"")</f>
        <v>1</v>
      </c>
    </row>
    <row r="9">
      <c r="A9" s="144" t="s"/>
      <c r="B9" s="162" t="s">
        <v>110</v>
      </c>
      <c r="C9" s="162" t="s">
        <v>111</v>
      </c>
      <c r="D9" s="162" t="s">
        <v>112</v>
      </c>
      <c r="E9" s="162" t="s">
        <v>113</v>
      </c>
      <c r="F9" s="163" t="s">
        <v>114</v>
      </c>
      <c r="G9" s="163" t="s">
        <v>115</v>
      </c>
      <c r="H9" s="163" t="s">
        <v>116</v>
      </c>
      <c r="I9" s="163" t="s">
        <v>117</v>
      </c>
      <c r="J9" s="163" t="s">
        <v>118</v>
      </c>
      <c r="K9" s="163" t="s">
        <v>119</v>
      </c>
      <c r="L9" s="163" t="s">
        <v>120</v>
      </c>
      <c r="M9" s="163" t="s">
        <v>121</v>
      </c>
      <c r="N9" s="163" t="s">
        <v>122</v>
      </c>
      <c r="O9" s="163" t="s">
        <v>123</v>
      </c>
      <c r="P9" s="163" t="s">
        <v>124</v>
      </c>
      <c r="Q9" s="164"/>
      <c r="R9" s="11">
        <f>IF('Beneficiaries (9)'!$P$30&gt;0,1,"")</f>
        <v>1</v>
      </c>
    </row>
    <row r="10">
      <c r="A10" s="144" t="str">
        <f>ID_Valid(E10)</f>
      </c>
      <c r="B10" s="165">
        <v>41</v>
      </c>
      <c r="C10" s="166" t="str">
        <f>IFERROR(INDEX(Logs!$B$2:$B$500,MATCH('Beneficiaries (3)'!$B10,Logs!$A$2:$A$500,0)),"")</f>
        <v>Kholeka</v>
      </c>
      <c r="D10" s="166" t="str">
        <f>IFERROR(INDEX(Logs!$C$2:$C$500,MATCH('Beneficiaries (3)'!$B10,Logs!$A$2:$A$500,0)),"")</f>
        <v>Alam</v>
      </c>
      <c r="E10" s="167" t="str">
        <f>IFERROR(INDEX(Logs!$D$2:$D$500,MATCH('Beneficiaries (3)'!$B10,Logs!$A$2:$A$500,0)),"")</f>
        <v>7910151264085</v>
      </c>
      <c r="F10" s="168" t="s">
        <v>125</v>
      </c>
      <c r="G10" s="165" t="str">
        <f>TheGender(E10)</f>
        <v>F</v>
      </c>
      <c r="H10" s="165" t="s">
        <v>125</v>
      </c>
      <c r="I10" s="169" t="s">
        <v>126</v>
      </c>
      <c r="J10" s="170" t="str">
        <f>IFERROR(INDEX(Logs!$E$2:$E$500,MATCH('Beneficiaries (3)'!$B10,Logs!$A$2:$A$500,0)),"")</f>
        <v>01/09/2022</v>
      </c>
      <c r="K10" s="170" t="str">
        <f>IFERROR(INDEX(Logs!$F$2:$F$500,MATCH('Beneficiaries (3)'!$B10,Logs!$A$2:$A$500,0)),"")</f>
        <v>15/03/0036</v>
      </c>
      <c r="L10" s="165">
        <f>IFERROR(INDEX(Logs!$G$2:$G$500,MATCH('Beneficiaries (3)'!$B10,Logs!$A$2:$A$500,0)),0)</f>
        <v>17</v>
      </c>
      <c r="M10" s="165">
        <v>0</v>
      </c>
      <c r="N10" s="165">
        <f>M10+L10</f>
        <v>17</v>
      </c>
      <c r="O10" s="171">
        <f>IFERROR(INDEX(Logs!$H$2:$H$500,MATCH('Beneficiaries (3)'!$B10,Logs!$A$2:$A$500,0)),)</f>
        <v>204.16</v>
      </c>
      <c r="P10" s="172">
        <f>IFERROR(N10*O10,0)</f>
        <v>3470.72</v>
      </c>
      <c r="Q10" s="173"/>
      <c r="R10" s="11">
        <f>IF('Beneficiaries (10)'!$P$30&gt;0,1,"")</f>
        <v>1</v>
      </c>
    </row>
    <row r="11">
      <c r="A11" s="144" t="str">
        <f>ID_Valid(E11)</f>
      </c>
      <c r="B11" s="165">
        <v>42</v>
      </c>
      <c r="C11" s="166" t="str">
        <f>IFERROR(INDEX(Logs!$B$2:$B$500,MATCH('Beneficiaries (3)'!$B11,Logs!$A$2:$A$500,0)),"")</f>
        <v>Zintombi</v>
      </c>
      <c r="D11" s="166" t="str">
        <f>IFERROR(INDEX(Logs!$C$2:$C$500,MATCH('Beneficiaries (3)'!$B11,Logs!$A$2:$A$500,0)),"")</f>
        <v>Gantsho</v>
      </c>
      <c r="E11" s="167" t="str">
        <f>IFERROR(INDEX(Logs!$D$2:$D$500,MATCH('Beneficiaries (3)'!$B11,Logs!$A$2:$A$500,0)),"")</f>
        <v>8310291009087</v>
      </c>
      <c r="F11" s="168" t="s">
        <v>125</v>
      </c>
      <c r="G11" s="165" t="str">
        <f>TheGender(E11)</f>
        <v>F</v>
      </c>
      <c r="H11" s="165" t="s">
        <v>125</v>
      </c>
      <c r="I11" s="165" t="s">
        <v>126</v>
      </c>
      <c r="J11" s="165" t="str">
        <f>IFERROR(INDEX(Logs!$E$2:$E$500,MATCH('Beneficiaries (3)'!$B11,Logs!$A$2:$A$500,0)),"")</f>
        <v>01/09/2022</v>
      </c>
      <c r="K11" s="165" t="str">
        <f>IFERROR(INDEX(Logs!$F$2:$F$500,MATCH('Beneficiaries (3)'!$B11,Logs!$A$2:$A$500,0)),"")</f>
        <v>15/03/0036</v>
      </c>
      <c r="L11" s="165">
        <f>IFERROR(INDEX(Logs!$G$2:$G$500,MATCH('Beneficiaries (3)'!$B11,Logs!$A$2:$A$500,0)),0)</f>
        <v>17</v>
      </c>
      <c r="M11" s="165">
        <v>0</v>
      </c>
      <c r="N11" s="165">
        <f>L11+M11</f>
        <v>17</v>
      </c>
      <c r="O11" s="171">
        <f>IFERROR(INDEX(Logs!$H$2:$H$500,MATCH('Beneficiaries (3)'!$B11,Logs!$A$2:$A$500,0)),)</f>
        <v>218.08</v>
      </c>
      <c r="P11" s="172">
        <f>IFERROR(N11*O11,0)</f>
        <v>3707.36</v>
      </c>
      <c r="Q11" s="173"/>
      <c r="R11" s="11">
        <f>IF('Beneficiaries (11)'!$P$30&gt;0,1,"")</f>
        <v>1</v>
      </c>
    </row>
    <row r="12">
      <c r="A12" s="144" t="str">
        <f>ID_Valid(E12)</f>
      </c>
      <c r="B12" s="165">
        <v>43</v>
      </c>
      <c r="C12" s="166" t="str">
        <f>IFERROR(INDEX(Logs!$B$2:$B$500,MATCH('Beneficiaries (3)'!$B12,Logs!$A$2:$A$500,0)),"")</f>
        <v>Thembisa</v>
      </c>
      <c r="D12" s="166" t="str">
        <f>IFERROR(INDEX(Logs!$C$2:$C$500,MATCH('Beneficiaries (3)'!$B12,Logs!$A$2:$A$500,0)),"")</f>
        <v>Kondile</v>
      </c>
      <c r="E12" s="167" t="str">
        <f>IFERROR(INDEX(Logs!$D$2:$D$500,MATCH('Beneficiaries (3)'!$B12,Logs!$A$2:$A$500,0)),"")</f>
        <v>7106101079083</v>
      </c>
      <c r="F12" s="168" t="s">
        <v>125</v>
      </c>
      <c r="G12" s="165" t="str">
        <f>TheGender(E12)</f>
        <v>F</v>
      </c>
      <c r="H12" s="165" t="s">
        <v>125</v>
      </c>
      <c r="I12" s="165" t="s">
        <v>126</v>
      </c>
      <c r="J12" s="165" t="str">
        <f>IFERROR(INDEX(Logs!$E$2:$E$500,MATCH('Beneficiaries (3)'!$B12,Logs!$A$2:$A$500,0)),"")</f>
        <v>01/09/2022</v>
      </c>
      <c r="K12" s="165" t="str">
        <f>IFERROR(INDEX(Logs!$F$2:$F$500,MATCH('Beneficiaries (3)'!$B12,Logs!$A$2:$A$500,0)),"")</f>
        <v>15/03/0036</v>
      </c>
      <c r="L12" s="165">
        <f>IFERROR(INDEX(Logs!$G$2:$G$500,MATCH('Beneficiaries (3)'!$B12,Logs!$A$2:$A$500,0)),0)</f>
        <v>17</v>
      </c>
      <c r="M12" s="165">
        <v>0</v>
      </c>
      <c r="N12" s="165">
        <f>L12+M12</f>
        <v>17</v>
      </c>
      <c r="O12" s="171">
        <f>IFERROR(INDEX(Logs!$H$2:$H$500,MATCH('Beneficiaries (3)'!$B12,Logs!$A$2:$A$500,0)),)</f>
        <v>204.16</v>
      </c>
      <c r="P12" s="172">
        <f>IFERROR(N12*O12,0)</f>
        <v>3470.72</v>
      </c>
      <c r="Q12" s="173"/>
      <c r="R12" s="11">
        <f>IF('Beneficiaries (12)'!$P$30&gt;0,1,"")</f>
        <v>1</v>
      </c>
    </row>
    <row r="13">
      <c r="A13" s="144" t="str">
        <f>ID_Valid(E13)</f>
      </c>
      <c r="B13" s="165">
        <v>44</v>
      </c>
      <c r="C13" s="166" t="str">
        <f>IFERROR(INDEX(Logs!$B$2:$B$500,MATCH('Beneficiaries (3)'!$B13,Logs!$A$2:$A$500,0)),"")</f>
        <v>Nosiphelo</v>
      </c>
      <c r="D13" s="166" t="str">
        <f>IFERROR(INDEX(Logs!$C$2:$C$500,MATCH('Beneficiaries (3)'!$B13,Logs!$A$2:$A$500,0)),"")</f>
        <v>Mbonda</v>
      </c>
      <c r="E13" s="167" t="str">
        <f>IFERROR(INDEX(Logs!$D$2:$D$500,MATCH('Beneficiaries (3)'!$B13,Logs!$A$2:$A$500,0)),"")</f>
        <v>6512300267083</v>
      </c>
      <c r="F13" s="168" t="s">
        <v>125</v>
      </c>
      <c r="G13" s="165" t="str">
        <f>TheGender(E13)</f>
        <v>F</v>
      </c>
      <c r="H13" s="165" t="s">
        <v>125</v>
      </c>
      <c r="I13" s="165" t="s">
        <v>126</v>
      </c>
      <c r="J13" s="165" t="str">
        <f>IFERROR(INDEX(Logs!$E$2:$E$500,MATCH('Beneficiaries (3)'!$B13,Logs!$A$2:$A$500,0)),"")</f>
        <v>01/09/2022</v>
      </c>
      <c r="K13" s="165" t="str">
        <f>IFERROR(INDEX(Logs!$F$2:$F$500,MATCH('Beneficiaries (3)'!$B13,Logs!$A$2:$A$500,0)),"")</f>
        <v>15/03/0036</v>
      </c>
      <c r="L13" s="165">
        <f>IFERROR(INDEX(Logs!$G$2:$G$500,MATCH('Beneficiaries (3)'!$B13,Logs!$A$2:$A$500,0)),0)</f>
        <v>17</v>
      </c>
      <c r="M13" s="165">
        <v>0</v>
      </c>
      <c r="N13" s="165">
        <f>L13+M13</f>
        <v>17</v>
      </c>
      <c r="O13" s="171">
        <f>IFERROR(INDEX(Logs!$H$2:$H$500,MATCH('Beneficiaries (3)'!$B13,Logs!$A$2:$A$500,0)),)</f>
        <v>204.16</v>
      </c>
      <c r="P13" s="172">
        <f>IFERROR(N13*O13,0)</f>
        <v>3470.72</v>
      </c>
      <c r="Q13" s="173"/>
      <c r="R13" s="11">
        <f>IF('Beneficiaries (13)'!$P$30&gt;0,1,"")</f>
        <v>1</v>
      </c>
    </row>
    <row r="14">
      <c r="A14" s="144" t="str">
        <f>ID_Valid(E14)</f>
      </c>
      <c r="B14" s="165">
        <v>45</v>
      </c>
      <c r="C14" s="166" t="str">
        <f>IFERROR(INDEX(Logs!$B$2:$B$500,MATCH('Beneficiaries (3)'!$B14,Logs!$A$2:$A$500,0)),"")</f>
        <v>Nontembeko</v>
      </c>
      <c r="D14" s="166" t="str">
        <f>IFERROR(INDEX(Logs!$C$2:$C$500,MATCH('Beneficiaries (3)'!$B14,Logs!$A$2:$A$500,0)),"")</f>
        <v>Kalmane</v>
      </c>
      <c r="E14" s="167" t="str">
        <f>IFERROR(INDEX(Logs!$D$2:$D$500,MATCH('Beneficiaries (3)'!$B14,Logs!$A$2:$A$500,0)),"")</f>
        <v>7708101001080</v>
      </c>
      <c r="F14" s="168" t="s">
        <v>125</v>
      </c>
      <c r="G14" s="165" t="str">
        <f>TheGender(E14)</f>
        <v>F</v>
      </c>
      <c r="H14" s="165" t="s">
        <v>125</v>
      </c>
      <c r="I14" s="165" t="s">
        <v>126</v>
      </c>
      <c r="J14" s="165" t="str">
        <f>IFERROR(INDEX(Logs!$E$2:$E$500,MATCH('Beneficiaries (3)'!$B14,Logs!$A$2:$A$500,0)),"")</f>
        <v>01/09/2022</v>
      </c>
      <c r="K14" s="165" t="str">
        <f>IFERROR(INDEX(Logs!$F$2:$F$500,MATCH('Beneficiaries (3)'!$B14,Logs!$A$2:$A$500,0)),"")</f>
        <v>15/03/0036</v>
      </c>
      <c r="L14" s="165">
        <f>IFERROR(INDEX(Logs!$G$2:$G$500,MATCH('Beneficiaries (3)'!$B14,Logs!$A$2:$A$500,0)),0)</f>
        <v>17</v>
      </c>
      <c r="M14" s="165">
        <v>0</v>
      </c>
      <c r="N14" s="165">
        <f>L14+M14</f>
        <v>17</v>
      </c>
      <c r="O14" s="171">
        <f>IFERROR(INDEX(Logs!$H$2:$H$500,MATCH('Beneficiaries (3)'!$B14,Logs!$A$2:$A$500,0)),)</f>
        <v>204.16</v>
      </c>
      <c r="P14" s="172">
        <f>IFERROR(N14*O14,0)</f>
        <v>3470.72</v>
      </c>
      <c r="Q14" s="173"/>
      <c r="R14" s="11">
        <f>IF('Beneficiaries (14)'!$P$30&gt;0,1,"")</f>
        <v>1</v>
      </c>
    </row>
    <row r="15">
      <c r="A15" s="144" t="str">
        <f>ID_Valid(E15)</f>
      </c>
      <c r="B15" s="165">
        <v>46</v>
      </c>
      <c r="C15" s="166" t="str">
        <f>IFERROR(INDEX(Logs!$B$2:$B$500,MATCH('Beneficiaries (3)'!$B15,Logs!$A$2:$A$500,0)),"")</f>
        <v>Ronell</v>
      </c>
      <c r="D15" s="166" t="str">
        <f>IFERROR(INDEX(Logs!$C$2:$C$500,MATCH('Beneficiaries (3)'!$B15,Logs!$A$2:$A$500,0)),"")</f>
        <v>Dorman</v>
      </c>
      <c r="E15" s="167" t="str">
        <f>IFERROR(INDEX(Logs!$D$2:$D$500,MATCH('Beneficiaries (3)'!$B15,Logs!$A$2:$A$500,0)),"")</f>
        <v>8007070089088</v>
      </c>
      <c r="F15" s="168" t="s">
        <v>125</v>
      </c>
      <c r="G15" s="165" t="str">
        <f>TheGender(E15)</f>
        <v>F</v>
      </c>
      <c r="H15" s="165" t="s">
        <v>125</v>
      </c>
      <c r="I15" s="165" t="s">
        <v>126</v>
      </c>
      <c r="J15" s="165" t="str">
        <f>IFERROR(INDEX(Logs!$E$2:$E$500,MATCH('Beneficiaries (3)'!$B15,Logs!$A$2:$A$500,0)),"")</f>
        <v>01/09/2022</v>
      </c>
      <c r="K15" s="165" t="str">
        <f>IFERROR(INDEX(Logs!$F$2:$F$500,MATCH('Beneficiaries (3)'!$B15,Logs!$A$2:$A$500,0)),"")</f>
        <v>15/03/0036</v>
      </c>
      <c r="L15" s="165">
        <f>IFERROR(INDEX(Logs!$G$2:$G$500,MATCH('Beneficiaries (3)'!$B15,Logs!$A$2:$A$500,0)),0)</f>
        <v>17</v>
      </c>
      <c r="M15" s="165">
        <v>0</v>
      </c>
      <c r="N15" s="165">
        <f>L15+M15</f>
        <v>17</v>
      </c>
      <c r="O15" s="171">
        <f>IFERROR(INDEX(Logs!$H$2:$H$500,MATCH('Beneficiaries (3)'!$B15,Logs!$A$2:$A$500,0)),)</f>
        <v>204.16</v>
      </c>
      <c r="P15" s="172">
        <f>IFERROR(N15*O15,0)</f>
        <v>3470.72</v>
      </c>
      <c r="Q15" s="173"/>
      <c r="R15" s="11"/>
    </row>
    <row r="16">
      <c r="A16" s="144" t="str">
        <f>ID_Valid(E16)</f>
      </c>
      <c r="B16" s="165">
        <v>47</v>
      </c>
      <c r="C16" s="166" t="str">
        <f>IFERROR(INDEX(Logs!$B$2:$B$500,MATCH('Beneficiaries (3)'!$B16,Logs!$A$2:$A$500,0)),"")</f>
        <v>Nontombi</v>
      </c>
      <c r="D16" s="166" t="str">
        <f>IFERROR(INDEX(Logs!$C$2:$C$500,MATCH('Beneficiaries (3)'!$B16,Logs!$A$2:$A$500,0)),"")</f>
        <v>Boyiya</v>
      </c>
      <c r="E16" s="167" t="str">
        <f>IFERROR(INDEX(Logs!$D$2:$D$500,MATCH('Beneficiaries (3)'!$B16,Logs!$A$2:$A$500,0)),"")</f>
        <v>7712290964082</v>
      </c>
      <c r="F16" s="168" t="s">
        <v>125</v>
      </c>
      <c r="G16" s="165" t="str">
        <f>TheGender(E16)</f>
        <v>F</v>
      </c>
      <c r="H16" s="165" t="s">
        <v>125</v>
      </c>
      <c r="I16" s="165" t="s">
        <v>126</v>
      </c>
      <c r="J16" s="165" t="str">
        <f>IFERROR(INDEX(Logs!$E$2:$E$500,MATCH('Beneficiaries (3)'!$B16,Logs!$A$2:$A$500,0)),"")</f>
        <v>13/04/0009</v>
      </c>
      <c r="K16" s="165" t="str">
        <f>IFERROR(INDEX(Logs!$F$2:$F$500,MATCH('Beneficiaries (3)'!$B16,Logs!$A$2:$A$500,0)),"")</f>
        <v>14/04/0037</v>
      </c>
      <c r="L16" s="165">
        <f>IFERROR(INDEX(Logs!$G$2:$G$500,MATCH('Beneficiaries (3)'!$B16,Logs!$A$2:$A$500,0)),0)</f>
        <v>26</v>
      </c>
      <c r="M16" s="165">
        <v>0</v>
      </c>
      <c r="N16" s="165">
        <f>L16+M16</f>
        <v>26</v>
      </c>
      <c r="O16" s="171">
        <f>IFERROR(INDEX(Logs!$H$2:$H$500,MATCH('Beneficiaries (3)'!$B16,Logs!$A$2:$A$500,0)),)</f>
        <v>204.16</v>
      </c>
      <c r="P16" s="172">
        <f>IFERROR(N16*O16,0)</f>
        <v>5308.16</v>
      </c>
      <c r="Q16" s="173"/>
      <c r="R16" s="11"/>
    </row>
    <row r="17">
      <c r="A17" s="144" t="str">
        <f>ID_Valid(E17)</f>
      </c>
      <c r="B17" s="165">
        <v>48</v>
      </c>
      <c r="C17" s="166" t="str">
        <f>IFERROR(INDEX(Logs!$B$2:$B$500,MATCH('Beneficiaries (3)'!$B17,Logs!$A$2:$A$500,0)),"")</f>
        <v>Lindiwe</v>
      </c>
      <c r="D17" s="166" t="str">
        <f>IFERROR(INDEX(Logs!$C$2:$C$500,MATCH('Beneficiaries (3)'!$B17,Logs!$A$2:$A$500,0)),"")</f>
        <v>Grabile</v>
      </c>
      <c r="E17" s="167" t="str">
        <f>IFERROR(INDEX(Logs!$D$2:$D$500,MATCH('Beneficiaries (3)'!$B17,Logs!$A$2:$A$500,0)),"")</f>
        <v>8603171189080</v>
      </c>
      <c r="F17" s="168" t="s">
        <v>125</v>
      </c>
      <c r="G17" s="165" t="str">
        <f>TheGender(E17)</f>
        <v>F</v>
      </c>
      <c r="H17" s="165" t="s">
        <v>125</v>
      </c>
      <c r="I17" s="165" t="s">
        <v>126</v>
      </c>
      <c r="J17" s="165" t="str">
        <f>IFERROR(INDEX(Logs!$E$2:$E$500,MATCH('Beneficiaries (3)'!$B17,Logs!$A$2:$A$500,0)),"")</f>
        <v>14/04/0007</v>
      </c>
      <c r="K17" s="165" t="str">
        <f>IFERROR(INDEX(Logs!$F$2:$F$500,MATCH('Beneficiaries (3)'!$B17,Logs!$A$2:$A$500,0)),"")</f>
        <v>14/04/0036</v>
      </c>
      <c r="L17" s="165">
        <f>IFERROR(INDEX(Logs!$G$2:$G$500,MATCH('Beneficiaries (3)'!$B17,Logs!$A$2:$A$500,0)),0)</f>
        <v>16</v>
      </c>
      <c r="M17" s="165">
        <v>0</v>
      </c>
      <c r="N17" s="165">
        <f>L17+M17</f>
        <v>16</v>
      </c>
      <c r="O17" s="171">
        <f>IFERROR(INDEX(Logs!$H$2:$H$500,MATCH('Beneficiaries (3)'!$B17,Logs!$A$2:$A$500,0)),)</f>
        <v>204.16</v>
      </c>
      <c r="P17" s="172">
        <f>IFERROR(N17*O17,0)</f>
        <v>3266.56</v>
      </c>
      <c r="Q17" s="173"/>
      <c r="R17" s="11"/>
    </row>
    <row r="18">
      <c r="A18" s="144" t="str">
        <f>ID_Valid(E18)</f>
      </c>
      <c r="B18" s="165">
        <v>49</v>
      </c>
      <c r="C18" s="166" t="str">
        <f>IFERROR(INDEX(Logs!$B$2:$B$500,MATCH('Beneficiaries (3)'!$B18,Logs!$A$2:$A$500,0)),"")</f>
        <v>Nosisana</v>
      </c>
      <c r="D18" s="166" t="str">
        <f>IFERROR(INDEX(Logs!$C$2:$C$500,MATCH('Beneficiaries (3)'!$B18,Logs!$A$2:$A$500,0)),"")</f>
        <v>Peteni</v>
      </c>
      <c r="E18" s="167" t="str">
        <f>IFERROR(INDEX(Logs!$D$2:$D$500,MATCH('Beneficiaries (3)'!$B18,Logs!$A$2:$A$500,0)),"")</f>
        <v>8810160989087</v>
      </c>
      <c r="F18" s="168" t="s">
        <v>125</v>
      </c>
      <c r="G18" s="165" t="str">
        <f>TheGender(E18)</f>
        <v>F</v>
      </c>
      <c r="H18" s="165" t="s">
        <v>125</v>
      </c>
      <c r="I18" s="165" t="s">
        <v>126</v>
      </c>
      <c r="J18" s="165" t="str">
        <f>IFERROR(INDEX(Logs!$E$2:$E$500,MATCH('Beneficiaries (3)'!$B18,Logs!$A$2:$A$500,0)),"")</f>
        <v>15/05/0007</v>
      </c>
      <c r="K18" s="165" t="str">
        <f>IFERROR(INDEX(Logs!$F$2:$F$500,MATCH('Beneficiaries (3)'!$B18,Logs!$A$2:$A$500,0)),"")</f>
        <v>14/04/0037</v>
      </c>
      <c r="L18" s="165">
        <f>IFERROR(INDEX(Logs!$G$2:$G$500,MATCH('Beneficiaries (3)'!$B18,Logs!$A$2:$A$500,0)),0)</f>
        <v>17</v>
      </c>
      <c r="M18" s="165">
        <v>0</v>
      </c>
      <c r="N18" s="165">
        <f>L18+M18</f>
        <v>17</v>
      </c>
      <c r="O18" s="171">
        <f>IFERROR(INDEX(Logs!$H$2:$H$500,MATCH('Beneficiaries (3)'!$B18,Logs!$A$2:$A$500,0)),)</f>
        <v>204.16</v>
      </c>
      <c r="P18" s="172">
        <f>IFERROR(N18*O18,0)</f>
        <v>3470.72</v>
      </c>
      <c r="Q18" s="173"/>
      <c r="R18" s="11"/>
    </row>
    <row r="19">
      <c r="A19" s="144" t="str">
        <f>ID_Valid(E19)</f>
      </c>
      <c r="B19" s="165">
        <v>50</v>
      </c>
      <c r="C19" s="166" t="str">
        <f>IFERROR(INDEX(Logs!$B$2:$B$500,MATCH('Beneficiaries (3)'!$B19,Logs!$A$2:$A$500,0)),"")</f>
        <v>Esethu</v>
      </c>
      <c r="D19" s="166" t="str">
        <f>IFERROR(INDEX(Logs!$C$2:$C$500,MATCH('Beneficiaries (3)'!$B19,Logs!$A$2:$A$500,0)),"")</f>
        <v>Maqaqa</v>
      </c>
      <c r="E19" s="167" t="str">
        <f>IFERROR(INDEX(Logs!$D$2:$D$500,MATCH('Beneficiaries (3)'!$B19,Logs!$A$2:$A$500,0)),"")</f>
        <v>9411021170089</v>
      </c>
      <c r="F19" s="168" t="s">
        <v>125</v>
      </c>
      <c r="G19" s="165" t="str">
        <f>TheGender(E19)</f>
        <v>F</v>
      </c>
      <c r="H19" s="165" t="s">
        <v>125</v>
      </c>
      <c r="I19" s="165" t="s">
        <v>126</v>
      </c>
      <c r="J19" s="165" t="str">
        <f>IFERROR(INDEX(Logs!$E$2:$E$500,MATCH('Beneficiaries (3)'!$B19,Logs!$A$2:$A$500,0)),"")</f>
        <v>15/05/0007</v>
      </c>
      <c r="K19" s="165" t="str">
        <f>IFERROR(INDEX(Logs!$F$2:$F$500,MATCH('Beneficiaries (3)'!$B19,Logs!$A$2:$A$500,0)),"")</f>
        <v>14/04/0037</v>
      </c>
      <c r="L19" s="165">
        <f>IFERROR(INDEX(Logs!$G$2:$G$500,MATCH('Beneficiaries (3)'!$B19,Logs!$A$2:$A$500,0)),0)</f>
        <v>17</v>
      </c>
      <c r="M19" s="165">
        <v>0</v>
      </c>
      <c r="N19" s="165">
        <f>L19+M19</f>
        <v>17</v>
      </c>
      <c r="O19" s="171">
        <f>IFERROR(INDEX(Logs!$H$2:$H$500,MATCH('Beneficiaries (3)'!$B19,Logs!$A$2:$A$500,0)),)</f>
        <v>204.16</v>
      </c>
      <c r="P19" s="172">
        <f>IFERROR(N19*O19,0)</f>
        <v>3470.72</v>
      </c>
      <c r="Q19" s="173"/>
      <c r="R19" s="145" t="s"/>
    </row>
    <row r="20">
      <c r="A20" s="144" t="str">
        <f>ID_Valid(E20)</f>
      </c>
      <c r="B20" s="165">
        <v>51</v>
      </c>
      <c r="C20" s="166" t="str">
        <f>IFERROR(INDEX(Logs!$B$2:$B$500,MATCH('Beneficiaries (3)'!$B20,Logs!$A$2:$A$500,0)),"")</f>
        <v>Khonziwe</v>
      </c>
      <c r="D20" s="166" t="str">
        <f>IFERROR(INDEX(Logs!$C$2:$C$500,MATCH('Beneficiaries (3)'!$B20,Logs!$A$2:$A$500,0)),"")</f>
        <v>Soxa</v>
      </c>
      <c r="E20" s="167" t="str">
        <f>IFERROR(INDEX(Logs!$D$2:$D$500,MATCH('Beneficiaries (3)'!$B20,Logs!$A$2:$A$500,0)),"")</f>
        <v>9209171063082</v>
      </c>
      <c r="F20" s="168" t="s">
        <v>125</v>
      </c>
      <c r="G20" s="165" t="str">
        <f>TheGender(E20)</f>
        <v>F</v>
      </c>
      <c r="H20" s="165" t="s">
        <v>125</v>
      </c>
      <c r="I20" s="165" t="s">
        <v>126</v>
      </c>
      <c r="J20" s="165" t="str">
        <f>IFERROR(INDEX(Logs!$E$2:$E$500,MATCH('Beneficiaries (3)'!$B20,Logs!$A$2:$A$500,0)),"")</f>
        <v>15/05/0007</v>
      </c>
      <c r="K20" s="165" t="str">
        <f>IFERROR(INDEX(Logs!$F$2:$F$500,MATCH('Beneficiaries (3)'!$B20,Logs!$A$2:$A$500,0)),"")</f>
        <v>14/04/0037</v>
      </c>
      <c r="L20" s="165">
        <f>IFERROR(INDEX(Logs!$G$2:$G$500,MATCH('Beneficiaries (3)'!$B20,Logs!$A$2:$A$500,0)),0)</f>
        <v>17</v>
      </c>
      <c r="M20" s="165">
        <v>0</v>
      </c>
      <c r="N20" s="165">
        <f>L20+M20</f>
        <v>17</v>
      </c>
      <c r="O20" s="171">
        <f>IFERROR(INDEX(Logs!$H$2:$H$500,MATCH('Beneficiaries (3)'!$B20,Logs!$A$2:$A$500,0)),)</f>
        <v>204.16</v>
      </c>
      <c r="P20" s="172">
        <f>IFERROR(N20*O20,0)</f>
        <v>3470.72</v>
      </c>
      <c r="Q20" s="173"/>
      <c r="R20" s="145" t="s"/>
    </row>
    <row r="21">
      <c r="A21" s="144" t="str">
        <f>ID_Valid(E21)</f>
      </c>
      <c r="B21" s="165">
        <v>52</v>
      </c>
      <c r="C21" s="166" t="str">
        <f>IFERROR(INDEX(Logs!$B$2:$B$500,MATCH('Beneficiaries (3)'!$B21,Logs!$A$2:$A$500,0)),"")</f>
        <v>Esther</v>
      </c>
      <c r="D21" s="166" t="str">
        <f>IFERROR(INDEX(Logs!$C$2:$C$500,MATCH('Beneficiaries (3)'!$B21,Logs!$A$2:$A$500,0)),"")</f>
        <v>Paliso</v>
      </c>
      <c r="E21" s="167" t="str">
        <f>IFERROR(INDEX(Logs!$D$2:$D$500,MATCH('Beneficiaries (3)'!$B21,Logs!$A$2:$A$500,0)),"")</f>
        <v>7206101531081</v>
      </c>
      <c r="F21" s="168" t="s">
        <v>125</v>
      </c>
      <c r="G21" s="165" t="str">
        <f>TheGender(E21)</f>
        <v>F</v>
      </c>
      <c r="H21" s="165" t="s">
        <v>125</v>
      </c>
      <c r="I21" s="165" t="s">
        <v>126</v>
      </c>
      <c r="J21" s="165" t="str">
        <f>IFERROR(INDEX(Logs!$E$2:$E$500,MATCH('Beneficiaries (3)'!$B21,Logs!$A$2:$A$500,0)),"")</f>
        <v>15/05/0007</v>
      </c>
      <c r="K21" s="165" t="str">
        <f>IFERROR(INDEX(Logs!$F$2:$F$500,MATCH('Beneficiaries (3)'!$B21,Logs!$A$2:$A$500,0)),"")</f>
        <v>14/04/0037</v>
      </c>
      <c r="L21" s="165">
        <f>IFERROR(INDEX(Logs!$G$2:$G$500,MATCH('Beneficiaries (3)'!$B21,Logs!$A$2:$A$500,0)),0)</f>
        <v>17</v>
      </c>
      <c r="M21" s="165">
        <v>0</v>
      </c>
      <c r="N21" s="165">
        <f>L21+M21</f>
        <v>17</v>
      </c>
      <c r="O21" s="171">
        <f>IFERROR(INDEX(Logs!$H$2:$H$500,MATCH('Beneficiaries (3)'!$B21,Logs!$A$2:$A$500,0)),)</f>
        <v>204.16</v>
      </c>
      <c r="P21" s="172">
        <f>IFERROR(N21*O21,0)</f>
        <v>3470.72</v>
      </c>
      <c r="Q21" s="173"/>
      <c r="R21" s="145" t="s"/>
    </row>
    <row r="22">
      <c r="A22" s="144" t="str">
        <f>ID_Valid(E22)</f>
      </c>
      <c r="B22" s="165">
        <v>53</v>
      </c>
      <c r="C22" s="174" t="str">
        <f>IFERROR(INDEX(Logs!$B$2:$B$500,MATCH('Beneficiaries (3)'!$B22,Logs!$A$2:$A$500,0)),"")</f>
        <v>Ncedisa</v>
      </c>
      <c r="D22" s="166" t="str">
        <f>IFERROR(INDEX(Logs!$C$2:$C$500,MATCH('Beneficiaries (3)'!$B22,Logs!$A$2:$A$500,0)),"")</f>
        <v>Njikili</v>
      </c>
      <c r="E22" s="167" t="str">
        <f>IFERROR(INDEX(Logs!$D$2:$D$500,MATCH('Beneficiaries (3)'!$B22,Logs!$A$2:$A$500,0)),"")</f>
        <v>9505160525084</v>
      </c>
      <c r="F22" s="168" t="s">
        <v>125</v>
      </c>
      <c r="G22" s="165" t="str">
        <f>TheGender(E22)</f>
        <v>F</v>
      </c>
      <c r="H22" s="165" t="s">
        <v>125</v>
      </c>
      <c r="I22" s="165" t="s">
        <v>126</v>
      </c>
      <c r="J22" s="165" t="str">
        <f>IFERROR(INDEX(Logs!$E$2:$E$500,MATCH('Beneficiaries (3)'!$B22,Logs!$A$2:$A$500,0)),"")</f>
        <v>15/05/0007</v>
      </c>
      <c r="K22" s="165" t="str">
        <f>IFERROR(INDEX(Logs!$F$2:$F$500,MATCH('Beneficiaries (3)'!$B22,Logs!$A$2:$A$500,0)),"")</f>
        <v>14/04/0037</v>
      </c>
      <c r="L22" s="165">
        <f>IFERROR(INDEX(Logs!$G$2:$G$500,MATCH('Beneficiaries (3)'!$B22,Logs!$A$2:$A$500,0)),0)</f>
        <v>17</v>
      </c>
      <c r="M22" s="165">
        <v>0</v>
      </c>
      <c r="N22" s="165">
        <f>L22+M22</f>
        <v>17</v>
      </c>
      <c r="O22" s="171">
        <f>IFERROR(INDEX(Logs!$H$2:$H$500,MATCH('Beneficiaries (3)'!$B22,Logs!$A$2:$A$500,0)),)</f>
        <v>204.16</v>
      </c>
      <c r="P22" s="172">
        <f>IFERROR(N22*O22,0)</f>
        <v>3470.72</v>
      </c>
      <c r="Q22" s="173"/>
      <c r="R22" s="145" t="s"/>
    </row>
    <row r="23">
      <c r="A23" s="144" t="str">
        <f>ID_Valid(E23)</f>
      </c>
      <c r="B23" s="165">
        <v>54</v>
      </c>
      <c r="C23" s="174" t="str">
        <f>IFERROR(INDEX(Logs!$B$2:$B$500,MATCH('Beneficiaries (3)'!$B23,Logs!$A$2:$A$500,0)),"")</f>
        <v>Nomfezeko</v>
      </c>
      <c r="D23" s="166" t="str">
        <f>IFERROR(INDEX(Logs!$C$2:$C$500,MATCH('Beneficiaries (3)'!$B23,Logs!$A$2:$A$500,0)),"")</f>
        <v>Mhlabuphalele</v>
      </c>
      <c r="E23" s="167" t="str">
        <f>IFERROR(INDEX(Logs!$D$2:$D$500,MATCH('Beneficiaries (3)'!$B23,Logs!$A$2:$A$500,0)),"")</f>
        <v>9409291226086</v>
      </c>
      <c r="F23" s="168" t="s">
        <v>125</v>
      </c>
      <c r="G23" s="165" t="str">
        <f>TheGender(E23)</f>
        <v>F</v>
      </c>
      <c r="H23" s="165" t="s">
        <v>125</v>
      </c>
      <c r="I23" s="165" t="s">
        <v>126</v>
      </c>
      <c r="J23" s="165" t="str">
        <f>IFERROR(INDEX(Logs!$E$2:$E$500,MATCH('Beneficiaries (3)'!$B23,Logs!$A$2:$A$500,0)),"")</f>
        <v>15/05/0007</v>
      </c>
      <c r="K23" s="165" t="str">
        <f>IFERROR(INDEX(Logs!$F$2:$F$500,MATCH('Beneficiaries (3)'!$B23,Logs!$A$2:$A$500,0)),"")</f>
      </c>
      <c r="L23" s="165">
        <f>IFERROR(INDEX(Logs!$G$2:$G$500,MATCH('Beneficiaries (3)'!$B23,Logs!$A$2:$A$500,0)),0)</f>
        <v>17</v>
      </c>
      <c r="M23" s="165">
        <v>0</v>
      </c>
      <c r="N23" s="165">
        <f>L23+M23</f>
        <v>17</v>
      </c>
      <c r="O23" s="171">
        <f>IFERROR(INDEX(Logs!$H$2:$H$500,MATCH('Beneficiaries (3)'!$B23,Logs!$A$2:$A$500,0)),)</f>
        <v>204.16</v>
      </c>
      <c r="P23" s="172">
        <f>IFERROR(N23*O23,0)</f>
        <v>3470.72</v>
      </c>
      <c r="Q23" s="173"/>
      <c r="R23" s="145" t="s"/>
    </row>
    <row r="24">
      <c r="A24" s="144" t="str">
        <f>ID_Valid(E24)</f>
      </c>
      <c r="B24" s="165">
        <v>55</v>
      </c>
      <c r="C24" s="174" t="str">
        <f>IFERROR(INDEX(Logs!$B$2:$B$500,MATCH('Beneficiaries (3)'!$B24,Logs!$A$2:$A$500,0)),"")</f>
        <v>Babalwa</v>
      </c>
      <c r="D24" s="166" t="str">
        <f>IFERROR(INDEX(Logs!$C$2:$C$500,MATCH('Beneficiaries (3)'!$B24,Logs!$A$2:$A$500,0)),"")</f>
        <v>Mekuto-Gweqe</v>
      </c>
      <c r="E24" s="167" t="str">
        <f>IFERROR(INDEX(Logs!$D$2:$D$500,MATCH('Beneficiaries (3)'!$B24,Logs!$A$2:$A$500,0)),"")</f>
        <v>8904081095080</v>
      </c>
      <c r="F24" s="168" t="s">
        <v>125</v>
      </c>
      <c r="G24" s="165" t="str">
        <f>TheGender(E24)</f>
        <v>F</v>
      </c>
      <c r="H24" s="165" t="s">
        <v>125</v>
      </c>
      <c r="I24" s="165" t="s">
        <v>126</v>
      </c>
      <c r="J24" s="165" t="str">
        <f>IFERROR(INDEX(Logs!$E$2:$E$500,MATCH('Beneficiaries (3)'!$B24,Logs!$A$2:$A$500,0)),"")</f>
        <v>15/05/0007</v>
      </c>
      <c r="K24" s="165" t="str">
        <f>IFERROR(INDEX(Logs!$F$2:$F$500,MATCH('Beneficiaries (3)'!$B24,Logs!$A$2:$A$500,0)),"")</f>
        <v>14/04/0037</v>
      </c>
      <c r="L24" s="165">
        <f>IFERROR(INDEX(Logs!$G$2:$G$500,MATCH('Beneficiaries (3)'!$B24,Logs!$A$2:$A$500,0)),0)</f>
        <v>17</v>
      </c>
      <c r="M24" s="165">
        <v>0</v>
      </c>
      <c r="N24" s="165">
        <f>L24+M24</f>
        <v>17</v>
      </c>
      <c r="O24" s="171">
        <f>IFERROR(INDEX(Logs!$H$2:$H$500,MATCH('Beneficiaries (3)'!$B24,Logs!$A$2:$A$500,0)),)</f>
        <v>204.16</v>
      </c>
      <c r="P24" s="172">
        <f>IFERROR(N24*O24,0)</f>
        <v>3470.72</v>
      </c>
      <c r="Q24" s="173"/>
      <c r="R24" s="145" t="s"/>
    </row>
    <row r="25">
      <c r="A25" s="144" t="str">
        <f>ID_Valid(E25)</f>
      </c>
      <c r="B25" s="165">
        <v>56</v>
      </c>
      <c r="C25" s="170" t="str">
        <f>IFERROR(INDEX(Logs!$B$2:$B$500,MATCH('Beneficiaries (3)'!$B25,Logs!$A$2:$A$500,0)),"")</f>
        <v>Ayabonga</v>
      </c>
      <c r="D25" s="166" t="str">
        <f>IFERROR(INDEX(Logs!$C$2:$C$500,MATCH('Beneficiaries (3)'!$B25,Logs!$A$2:$A$500,0)),"")</f>
        <v>Bokweni</v>
      </c>
      <c r="E25" s="167" t="str">
        <f>IFERROR(INDEX(Logs!$D$2:$D$500,MATCH('Beneficiaries (3)'!$B25,Logs!$A$2:$A$500,0)),"")</f>
        <v>9508270711081</v>
      </c>
      <c r="F25" s="168" t="s">
        <v>125</v>
      </c>
      <c r="G25" s="165" t="str">
        <f>TheGender(E25)</f>
        <v>F</v>
      </c>
      <c r="H25" s="165" t="s">
        <v>125</v>
      </c>
      <c r="I25" s="165" t="s">
        <v>126</v>
      </c>
      <c r="J25" s="165" t="str">
        <f>IFERROR(INDEX(Logs!$E$2:$E$500,MATCH('Beneficiaries (3)'!$B25,Logs!$A$2:$A$500,0)),"")</f>
        <v>15/05/0007</v>
      </c>
      <c r="K25" s="165" t="str">
        <f>IFERROR(INDEX(Logs!$F$2:$F$500,MATCH('Beneficiaries (3)'!$B25,Logs!$A$2:$A$500,0)),"")</f>
        <v>14/04/0037</v>
      </c>
      <c r="L25" s="165">
        <f>IFERROR(INDEX(Logs!$G$2:$G$500,MATCH('Beneficiaries (3)'!$B25,Logs!$A$2:$A$500,0)),0)</f>
        <v>17</v>
      </c>
      <c r="M25" s="165">
        <v>0</v>
      </c>
      <c r="N25" s="165">
        <f>L25+M25</f>
        <v>17</v>
      </c>
      <c r="O25" s="171">
        <f>IFERROR(INDEX(Logs!$H$2:$H$500,MATCH('Beneficiaries (3)'!$B25,Logs!$A$2:$A$500,0)),)</f>
        <v>204.16</v>
      </c>
      <c r="P25" s="172">
        <f>IFERROR(N25*O25,0)</f>
        <v>3470.72</v>
      </c>
      <c r="Q25" s="173"/>
      <c r="R25" s="145" t="s"/>
    </row>
    <row r="26">
      <c r="A26" s="144" t="str">
        <f>ID_Valid(E26)</f>
      </c>
      <c r="B26" s="165">
        <v>57</v>
      </c>
      <c r="C26" s="170" t="str">
        <f>IFERROR(INDEX(Logs!$B$2:$B$500,MATCH('Beneficiaries (3)'!$B26,Logs!$A$2:$A$500,0)),"")</f>
        <v>Nontembiso</v>
      </c>
      <c r="D26" s="166" t="str">
        <f>IFERROR(INDEX(Logs!$C$2:$C$500,MATCH('Beneficiaries (3)'!$B26,Logs!$A$2:$A$500,0)),"")</f>
        <v>Yozi</v>
      </c>
      <c r="E26" s="167" t="str">
        <f>IFERROR(INDEX(Logs!$D$2:$D$500,MATCH('Beneficiaries (3)'!$B26,Logs!$A$2:$A$500,0)),"")</f>
        <v>7610260997084</v>
      </c>
      <c r="F26" s="168" t="s">
        <v>125</v>
      </c>
      <c r="G26" s="165" t="str">
        <f>TheGender(E26)</f>
        <v>F</v>
      </c>
      <c r="H26" s="165" t="s">
        <v>125</v>
      </c>
      <c r="I26" s="165" t="s">
        <v>126</v>
      </c>
      <c r="J26" s="165" t="str">
        <f>IFERROR(INDEX(Logs!$E$2:$E$500,MATCH('Beneficiaries (3)'!$B26,Logs!$A$2:$A$500,0)),"")</f>
        <v>15/05/0007</v>
      </c>
      <c r="K26" s="165" t="str">
        <f>IFERROR(INDEX(Logs!$F$2:$F$500,MATCH('Beneficiaries (3)'!$B26,Logs!$A$2:$A$500,0)),"")</f>
        <v>14/04/0037</v>
      </c>
      <c r="L26" s="165">
        <f>IFERROR(INDEX(Logs!$G$2:$G$500,MATCH('Beneficiaries (3)'!$B26,Logs!$A$2:$A$500,0)),0)</f>
        <v>17</v>
      </c>
      <c r="M26" s="165">
        <v>0</v>
      </c>
      <c r="N26" s="165">
        <f>L26+M26</f>
        <v>17</v>
      </c>
      <c r="O26" s="171">
        <f>IFERROR(INDEX(Logs!$H$2:$H$500,MATCH('Beneficiaries (3)'!$B26,Logs!$A$2:$A$500,0)),)</f>
        <v>204.16</v>
      </c>
      <c r="P26" s="172">
        <f>IFERROR(N26*O26,0)</f>
        <v>3470.72</v>
      </c>
      <c r="Q26" s="173"/>
      <c r="R26" s="145" t="s"/>
    </row>
    <row r="27">
      <c r="A27" s="144" t="str">
        <f>ID_Valid(E27)</f>
        <v>INVALID ID - Check Digit</v>
      </c>
      <c r="B27" s="165">
        <v>58</v>
      </c>
      <c r="C27" s="170" t="str">
        <f>IFERROR(INDEX(Logs!$B$2:$B$500,MATCH('Beneficiaries (3)'!$B27,Logs!$A$2:$A$500,0)),"")</f>
        <v>Masibulele</v>
      </c>
      <c r="D27" s="166" t="str">
        <f>IFERROR(INDEX(Logs!$C$2:$C$500,MATCH('Beneficiaries (3)'!$B27,Logs!$A$2:$A$500,0)),"")</f>
        <v>Mgwayi</v>
      </c>
      <c r="E27" s="167" t="str">
        <f>IFERROR(INDEX(Logs!$D$2:$D$500,MATCH('Beneficiaries (3)'!$B27,Logs!$A$2:$A$500,0)),"")</f>
        <v>8001036219086</v>
      </c>
      <c r="F27" s="168" t="s">
        <v>125</v>
      </c>
      <c r="G27" s="165" t="str">
        <f>TheGender(E27)</f>
        <v>M</v>
      </c>
      <c r="H27" s="165" t="s">
        <v>125</v>
      </c>
      <c r="I27" s="165" t="s">
        <v>126</v>
      </c>
      <c r="J27" s="165" t="str">
        <f>IFERROR(INDEX(Logs!$E$2:$E$500,MATCH('Beneficiaries (3)'!$B27,Logs!$A$2:$A$500,0)),"")</f>
        <v>15/05/0007</v>
      </c>
      <c r="K27" s="165" t="str">
        <f>IFERROR(INDEX(Logs!$F$2:$F$500,MATCH('Beneficiaries (3)'!$B27,Logs!$A$2:$A$500,0)),"")</f>
        <v>14/04/0037</v>
      </c>
      <c r="L27" s="165">
        <f>IFERROR(INDEX(Logs!$G$2:$G$500,MATCH('Beneficiaries (3)'!$B27,Logs!$A$2:$A$500,0)),0)</f>
        <v>16</v>
      </c>
      <c r="M27" s="165">
        <v>0</v>
      </c>
      <c r="N27" s="165">
        <f>L27+M27</f>
        <v>16</v>
      </c>
      <c r="O27" s="171">
        <f>IFERROR(INDEX(Logs!$H$2:$H$500,MATCH('Beneficiaries (3)'!$B27,Logs!$A$2:$A$500,0)),)</f>
        <v>204.16</v>
      </c>
      <c r="P27" s="172">
        <f>IFERROR(N27*O27,0)</f>
        <v>3266.56</v>
      </c>
      <c r="Q27" s="173"/>
      <c r="R27" s="145" t="s"/>
    </row>
    <row r="28">
      <c r="A28" s="144" t="str">
        <f>ID_Valid(E28)</f>
      </c>
      <c r="B28" s="165">
        <v>59</v>
      </c>
      <c r="C28" s="170" t="str">
        <f>IFERROR(INDEX(Logs!$B$2:$B$500,MATCH('Beneficiaries (3)'!$B28,Logs!$A$2:$A$500,0)),"")</f>
        <v>Nomthandazo</v>
      </c>
      <c r="D28" s="166" t="str">
        <f>IFERROR(INDEX(Logs!$C$2:$C$500,MATCH('Beneficiaries (3)'!$B28,Logs!$A$2:$A$500,0)),"")</f>
        <v>Nkwatsha</v>
      </c>
      <c r="E28" s="167" t="str">
        <f>IFERROR(INDEX(Logs!$D$2:$D$500,MATCH('Beneficiaries (3)'!$B28,Logs!$A$2:$A$500,0)),"")</f>
        <v>8012200737085</v>
      </c>
      <c r="F28" s="168" t="s">
        <v>125</v>
      </c>
      <c r="G28" s="165" t="str">
        <f>TheGender(E28)</f>
        <v>F</v>
      </c>
      <c r="H28" s="165" t="s">
        <v>125</v>
      </c>
      <c r="I28" s="165" t="s">
        <v>126</v>
      </c>
      <c r="J28" s="165" t="str">
        <f>IFERROR(INDEX(Logs!$E$2:$E$500,MATCH('Beneficiaries (3)'!$B28,Logs!$A$2:$A$500,0)),"")</f>
        <v>15/05/0007</v>
      </c>
      <c r="K28" s="165" t="str">
        <f>IFERROR(INDEX(Logs!$F$2:$F$500,MATCH('Beneficiaries (3)'!$B28,Logs!$A$2:$A$500,0)),"")</f>
        <v>14/04/0037</v>
      </c>
      <c r="L28" s="165">
        <f>IFERROR(INDEX(Logs!$G$2:$G$500,MATCH('Beneficiaries (3)'!$B28,Logs!$A$2:$A$500,0)),0)</f>
        <v>16</v>
      </c>
      <c r="M28" s="165">
        <v>0</v>
      </c>
      <c r="N28" s="165">
        <f>L28+M28</f>
        <v>16</v>
      </c>
      <c r="O28" s="171">
        <f>IFERROR(INDEX(Logs!$H$2:$H$500,MATCH('Beneficiaries (3)'!$B28,Logs!$A$2:$A$500,0)),)</f>
        <v>204.16</v>
      </c>
      <c r="P28" s="172">
        <f>IFERROR(N28*O28,0)</f>
        <v>3266.56</v>
      </c>
      <c r="Q28" s="173"/>
      <c r="R28" s="145" t="s"/>
    </row>
    <row r="29">
      <c r="A29" s="144" t="str">
        <f>ID_Valid(E29)</f>
      </c>
      <c r="B29" s="165">
        <v>60</v>
      </c>
      <c r="C29" s="170" t="str">
        <f>IFERROR(INDEX(Logs!$B$2:$B$500,MATCH('Beneficiaries (3)'!$B29,Logs!$A$2:$A$500,0)),"")</f>
        <v>Nosakhiwo</v>
      </c>
      <c r="D29" s="170" t="str">
        <f>IFERROR(INDEX(Logs!$C$2:$C$500,MATCH('Beneficiaries (3)'!$B29,Logs!$A$2:$A$500,0)),"")</f>
        <v>Mdeyi</v>
      </c>
      <c r="E29" s="167" t="str">
        <f>IFERROR(INDEX(Logs!$D$2:$D$500,MATCH('Beneficiaries (3)'!$B29,Logs!$A$2:$A$500,0)),"")</f>
        <v>7010160871085</v>
      </c>
      <c r="F29" s="168" t="s">
        <v>125</v>
      </c>
      <c r="G29" s="165" t="str">
        <f>TheGender(E29)</f>
        <v>F</v>
      </c>
      <c r="H29" s="165" t="s">
        <v>125</v>
      </c>
      <c r="I29" s="165" t="s">
        <v>126</v>
      </c>
      <c r="J29" s="165" t="str">
        <f>IFERROR(INDEX(Logs!$E$2:$E$500,MATCH('Beneficiaries (3)'!$B29,Logs!$A$2:$A$500,0)),"")</f>
        <v>15/05/0007</v>
      </c>
      <c r="K29" s="165" t="str">
        <f>IFERROR(INDEX(Logs!$F$2:$F$500,MATCH('Beneficiaries (3)'!$B29,Logs!$A$2:$A$500,0)),"")</f>
        <v>14/04/0037</v>
      </c>
      <c r="L29" s="165">
        <f>IFERROR(INDEX(Logs!$G$2:$G$500,MATCH('Beneficiaries (3)'!$B29,Logs!$A$2:$A$500,0)),0)</f>
        <v>16</v>
      </c>
      <c r="M29" s="165">
        <v>0</v>
      </c>
      <c r="N29" s="165">
        <f>L29+M29</f>
        <v>16</v>
      </c>
      <c r="O29" s="171">
        <f>IFERROR(INDEX(Logs!$H$2:$H$500,MATCH('Beneficiaries (3)'!$B29,Logs!$A$2:$A$500,0)),)</f>
        <v>204.16</v>
      </c>
      <c r="P29" s="172">
        <f>IFERROR(N29*O29,0)</f>
        <v>3266.56</v>
      </c>
      <c r="Q29" s="173"/>
      <c r="R29" s="145" t="s"/>
    </row>
    <row r="30">
      <c r="A30" s="144" t="s"/>
      <c r="B30" s="175"/>
      <c r="C30" s="175"/>
      <c r="D30" s="175"/>
      <c r="E30" s="175"/>
      <c r="F30" s="175"/>
      <c r="G30" s="175"/>
      <c r="H30" s="175"/>
      <c r="I30" s="175"/>
      <c r="J30" s="175"/>
      <c r="K30" s="175"/>
      <c r="L30" s="176">
        <f>SUM(L10:L29)</f>
        <v>345</v>
      </c>
      <c r="M30" s="176">
        <f>SUM(M10:M29)</f>
        <v>0</v>
      </c>
      <c r="N30" s="176">
        <f>SUM(N10:N29)</f>
        <v>345</v>
      </c>
      <c r="O30" s="177">
        <f>SUM(O10:O29)</f>
        <v>4097.119999999999</v>
      </c>
      <c r="P30" s="178">
        <f>SUM(P10:P29)</f>
        <v>70671.840000000011</v>
      </c>
      <c r="Q30" s="179"/>
      <c r="R30" s="145" t="s"/>
    </row>
    <row r="31" ht="27" customHeight="true">
      <c r="A31" s="144" t="s"/>
      <c r="B31" s="180" t="s">
        <v>127</v>
      </c>
      <c r="C31" s="180"/>
      <c r="D31" s="181" t="s">
        <v>128</v>
      </c>
      <c r="E31" s="153" t="str">
        <f>Project!$G$30</f>
        <v>Benjamin Milandou-Loubeka</v>
      </c>
      <c r="F31" s="153"/>
      <c r="G31" s="153"/>
      <c r="H31" s="153" t="s">
        <v>129</v>
      </c>
      <c r="I31" s="157"/>
      <c r="J31" s="157"/>
      <c r="K31" s="157"/>
      <c r="L31" s="157"/>
      <c r="M31" s="157"/>
      <c r="N31" s="157"/>
      <c r="O31" s="157"/>
      <c r="P31" s="157"/>
      <c r="Q31" s="14"/>
      <c r="R31" s="145" t="s"/>
    </row>
    <row r="32" ht="27" customHeight="true">
      <c r="A32" s="144" t="s"/>
      <c r="B32" s="180"/>
      <c r="C32" s="180"/>
      <c r="D32" s="181" t="s">
        <v>130</v>
      </c>
      <c r="E32" s="182">
        <f>Project!$AN$1</f>
        <v>45199</v>
      </c>
      <c r="F32" s="182"/>
      <c r="G32" s="182"/>
      <c r="H32" s="153"/>
      <c r="I32" s="157"/>
      <c r="J32" s="157"/>
      <c r="K32" s="157"/>
      <c r="L32" s="157"/>
      <c r="M32" s="157"/>
      <c r="N32" s="157"/>
      <c r="O32" s="157"/>
      <c r="P32" s="157"/>
      <c r="Q32" s="14"/>
      <c r="R32" s="145" t="s"/>
    </row>
    <row r="33" ht="14.25" customHeight="true">
      <c r="A33" s="144" t="s"/>
      <c r="B33" s="158"/>
      <c r="C33" s="158"/>
      <c r="D33" s="183"/>
      <c r="E33" s="14"/>
      <c r="F33" s="14"/>
      <c r="G33" s="14"/>
      <c r="H33" s="148"/>
      <c r="I33" s="14"/>
      <c r="J33" s="14"/>
      <c r="K33" s="14"/>
      <c r="L33" s="14"/>
      <c r="M33" s="14"/>
      <c r="N33" s="14"/>
      <c r="O33" s="14"/>
      <c r="P33" s="14"/>
      <c r="Q33" s="14"/>
    </row>
    <row r="34" ht="27" customHeight="true">
      <c r="A34" s="144" t="s"/>
      <c r="B34" s="180" t="s">
        <v>131</v>
      </c>
      <c r="C34" s="180"/>
      <c r="D34" s="181" t="s">
        <v>128</v>
      </c>
      <c r="E34" s="157"/>
      <c r="F34" s="157"/>
      <c r="G34" s="157"/>
      <c r="H34" s="153" t="s">
        <v>129</v>
      </c>
      <c r="I34" s="157"/>
      <c r="J34" s="157"/>
      <c r="K34" s="157"/>
      <c r="L34" s="157"/>
      <c r="M34" s="157"/>
      <c r="N34" s="157"/>
      <c r="O34" s="157"/>
      <c r="P34" s="157"/>
      <c r="Q34" s="14"/>
    </row>
    <row r="35" ht="27" customHeight="true">
      <c r="A35" s="144" t="s"/>
      <c r="B35" s="180"/>
      <c r="C35" s="180"/>
      <c r="D35" s="181" t="s">
        <v>130</v>
      </c>
      <c r="E35" s="157"/>
      <c r="F35" s="157"/>
      <c r="G35" s="157"/>
      <c r="H35" s="153"/>
      <c r="I35" s="157"/>
      <c r="J35" s="157"/>
      <c r="K35" s="157"/>
      <c r="L35" s="157"/>
      <c r="M35" s="157"/>
      <c r="N35" s="157"/>
      <c r="O35" s="157"/>
      <c r="P35" s="157"/>
      <c r="Q35" s="14"/>
    </row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>
      <c r="A74" s="144" t="s"/>
      <c r="B74" s="14"/>
    </row>
  </sheetData>
  <dataValidations count="1">
    <dataValidation allowBlank="true" showInputMessage="true" showErrorMessage="true" promptTitle="Month" type="" sqref="I6">
      <formula1/>
    </dataValidation>
  </dataValidations>
  <mergeCells count="14">
    <mergeCell ref="B3:P3"/>
    <mergeCell ref="B5:C6"/>
    <mergeCell ref="D5:E6"/>
    <mergeCell ref="K5:M5"/>
    <mergeCell ref="B31:C32"/>
    <mergeCell ref="E31:G31"/>
    <mergeCell ref="H31:H32"/>
    <mergeCell ref="I31:P32"/>
    <mergeCell ref="E32:G32"/>
    <mergeCell ref="B34:C35"/>
    <mergeCell ref="E34:G34"/>
    <mergeCell ref="H34:H35"/>
    <mergeCell ref="I34:P35"/>
    <mergeCell ref="E35:G35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5.xml><?xml version="1.0" encoding="utf-8"?>
<worksheet xmlns="http://schemas.openxmlformats.org/spreadsheetml/2006/main">
  <sheetPr filterMode="false">
    <pageSetUpPr fitToPage="false"/>
  </sheetPr>
  <dimension ref="A1:R74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85546875" defaultRowHeight="12.75"/>
  <cols>
    <col collapsed="false" hidden="false" max="1" min="1" style="144" width="20.7109375" customWidth="true"/>
    <col collapsed="false" hidden="false" max="2" min="2" style="1" width="4.42578125" customWidth="true"/>
    <col collapsed="false" hidden="false" max="5" min="3" style="1" width="24.42578125" customWidth="true"/>
    <col collapsed="false" hidden="false" max="5" min="3" style="1" width="24.42578125" customWidth="true"/>
    <col collapsed="false" hidden="false" max="5" min="3" style="1" width="24.42578125" customWidth="true"/>
    <col collapsed="false" hidden="false" max="6" min="6" style="1" width="10.140625" customWidth="true"/>
    <col collapsed="false" hidden="false" max="9" min="7" style="1" width="8.85546875" customWidth="true"/>
    <col collapsed="false" hidden="false" max="9" min="7" style="1" width="8.85546875" customWidth="true"/>
    <col collapsed="false" hidden="false" max="9" min="7" style="1" width="8.85546875" customWidth="true"/>
    <col collapsed="false" hidden="false" max="11" min="10" style="1" width="10.140625" customWidth="true"/>
    <col collapsed="false" hidden="false" max="11" min="10" style="1" width="10.14062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7" min="16" style="1" width="14.5703125" customWidth="true"/>
    <col collapsed="false" hidden="false" max="17" min="16" style="1" width="14.5703125" customWidth="true"/>
    <col collapsed="false" hidden="false" max="18" min="18" style="145" width="8.85546875" customWidth="true"/>
  </cols>
  <sheetData>
    <row r="1">
      <c r="A1" s="144" t="s"/>
      <c r="B1" s="146" t="s">
        <v>96</v>
      </c>
      <c r="C1" s="2"/>
      <c r="D1" s="2"/>
      <c r="E1" s="147" t="s">
        <v>2</v>
      </c>
      <c r="F1" s="1" t="s"/>
      <c r="G1" s="2"/>
      <c r="H1" s="2"/>
      <c r="I1" s="2"/>
      <c r="J1" s="1" t="s"/>
      <c r="K1" s="1" t="s"/>
      <c r="L1" s="1" t="s"/>
      <c r="M1" s="1" t="s"/>
      <c r="N1" s="1" t="s"/>
      <c r="O1" s="1" t="s"/>
      <c r="P1" s="1" t="s"/>
      <c r="Q1" s="1" t="s"/>
      <c r="R1" s="11">
        <f>IF(Beneficiaries!$P$30&gt;0,1,"")</f>
        <v>1</v>
      </c>
    </row>
    <row r="2">
      <c r="A2" s="144" t="s"/>
      <c r="B2" s="1" t="s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11">
        <f>IF('Beneficiaries (2)'!$P$30&gt;0,1,"")</f>
        <v>1</v>
      </c>
    </row>
    <row r="3">
      <c r="A3" s="144" t="s"/>
      <c r="B3" s="148" t="s">
        <v>97</v>
      </c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1">
        <f>IF('Beneficiaries (3)'!$P$30&gt;0,1,"")</f>
        <v>1</v>
      </c>
    </row>
    <row r="4">
      <c r="A4" s="144" t="s"/>
      <c r="B4" s="1" t="s"/>
      <c r="C4" s="146"/>
      <c r="D4" s="146"/>
      <c r="E4" s="146"/>
      <c r="F4" s="146"/>
      <c r="G4" s="146"/>
      <c r="H4" s="1" t="s"/>
      <c r="I4" s="1" t="s"/>
      <c r="J4" s="1" t="s"/>
      <c r="K4" s="1" t="s"/>
      <c r="L4" s="1" t="s"/>
      <c r="M4" s="1" t="s"/>
      <c r="N4" s="1" t="s"/>
      <c r="O4" s="1" t="s"/>
      <c r="P4" s="1" t="s"/>
      <c r="Q4" s="1" t="s"/>
      <c r="R4" s="11">
        <f>IF('Beneficiaries (4)'!$P$30&gt;0,1,"")</f>
        <v>1</v>
      </c>
    </row>
    <row r="5" ht="12.75" customHeight="true">
      <c r="A5" s="144" t="s"/>
      <c r="B5" s="149" t="s">
        <v>98</v>
      </c>
      <c r="C5" s="150"/>
      <c r="D5" s="151" t="str">
        <f>Project!$Z$25</f>
        <v>WSDS/24/111i</v>
      </c>
      <c r="E5" s="151"/>
      <c r="F5" s="152"/>
      <c r="G5" s="1" t="s"/>
      <c r="H5" s="153" t="s">
        <v>99</v>
      </c>
      <c r="I5" s="153" t="s">
        <v>100</v>
      </c>
      <c r="J5" s="146"/>
      <c r="K5" s="154" t="s">
        <v>101</v>
      </c>
      <c r="L5" s="154"/>
      <c r="M5" s="154"/>
      <c r="N5" s="39"/>
      <c r="O5" s="39"/>
      <c r="P5" s="146"/>
      <c r="Q5" s="146"/>
      <c r="R5" s="11">
        <f>IF('Beneficiaries (5)'!$P$30&gt;0,1,"")</f>
        <v>1</v>
      </c>
    </row>
    <row r="6">
      <c r="A6" s="144" t="s"/>
      <c r="B6" s="155"/>
      <c r="C6" s="156"/>
      <c r="D6" s="151"/>
      <c r="E6" s="151"/>
      <c r="F6" s="152"/>
      <c r="G6" s="1" t="s"/>
      <c r="H6" s="109" t="str">
        <f>TEXT(Project!$AN$1,"YYYY")</f>
        <v>2023</v>
      </c>
      <c r="I6" s="109" t="str">
        <f>TEXT(Project!$AN$1,"MMMM")</f>
        <v>September</v>
      </c>
      <c r="J6" s="7"/>
      <c r="K6" s="157">
        <v>1</v>
      </c>
      <c r="L6" s="154" t="s">
        <v>102</v>
      </c>
      <c r="M6" s="154">
        <f>IF(K6&gt;0,COUNT(R1:R20),"")</f>
        <v>14</v>
      </c>
      <c r="N6" s="39"/>
      <c r="O6" s="39"/>
      <c r="P6" s="14"/>
      <c r="Q6" s="14"/>
      <c r="R6" s="11">
        <f>IF('Beneficiaries (6)'!$P$30&gt;0,1,"")</f>
        <v>1</v>
      </c>
    </row>
    <row r="7">
      <c r="A7" s="144" t="s"/>
      <c r="B7" s="158"/>
      <c r="C7" s="158"/>
      <c r="D7" s="158"/>
      <c r="E7" s="14"/>
      <c r="F7" s="14"/>
      <c r="G7" s="1" t="s"/>
      <c r="H7" s="7"/>
      <c r="I7" s="7"/>
      <c r="J7" s="7"/>
      <c r="K7" s="14"/>
      <c r="L7" s="39"/>
      <c r="M7" s="39"/>
      <c r="N7" s="39"/>
      <c r="O7" s="39"/>
      <c r="P7" s="14"/>
      <c r="Q7" s="14"/>
      <c r="R7" s="11">
        <f>IF('Beneficiaries (7)'!$P$30&gt;0,1,"")</f>
        <v>1</v>
      </c>
    </row>
    <row r="8">
      <c r="A8" s="144" t="s"/>
      <c r="B8" s="159"/>
      <c r="C8" s="160" t="s">
        <v>103</v>
      </c>
      <c r="D8" s="160" t="s">
        <v>103</v>
      </c>
      <c r="E8" s="160" t="s">
        <v>103</v>
      </c>
      <c r="F8" s="160" t="s">
        <v>104</v>
      </c>
      <c r="G8" s="159"/>
      <c r="H8" s="159"/>
      <c r="I8" s="160" t="s">
        <v>105</v>
      </c>
      <c r="J8" s="159"/>
      <c r="K8" s="160" t="s">
        <v>106</v>
      </c>
      <c r="L8" s="160" t="s">
        <v>107</v>
      </c>
      <c r="M8" s="160" t="s">
        <v>108</v>
      </c>
      <c r="N8" s="160"/>
      <c r="O8" s="160" t="s">
        <v>109</v>
      </c>
      <c r="P8" s="160"/>
      <c r="Q8" s="161"/>
      <c r="R8" s="11">
        <f>IF('Beneficiaries (8)'!$P$30&gt;0,1,"")</f>
        <v>1</v>
      </c>
    </row>
    <row r="9">
      <c r="A9" s="144" t="s"/>
      <c r="B9" s="162" t="s">
        <v>110</v>
      </c>
      <c r="C9" s="162" t="s">
        <v>111</v>
      </c>
      <c r="D9" s="162" t="s">
        <v>112</v>
      </c>
      <c r="E9" s="162" t="s">
        <v>113</v>
      </c>
      <c r="F9" s="163" t="s">
        <v>114</v>
      </c>
      <c r="G9" s="163" t="s">
        <v>115</v>
      </c>
      <c r="H9" s="163" t="s">
        <v>116</v>
      </c>
      <c r="I9" s="163" t="s">
        <v>117</v>
      </c>
      <c r="J9" s="163" t="s">
        <v>118</v>
      </c>
      <c r="K9" s="163" t="s">
        <v>119</v>
      </c>
      <c r="L9" s="163" t="s">
        <v>120</v>
      </c>
      <c r="M9" s="163" t="s">
        <v>121</v>
      </c>
      <c r="N9" s="163" t="s">
        <v>122</v>
      </c>
      <c r="O9" s="163" t="s">
        <v>123</v>
      </c>
      <c r="P9" s="163" t="s">
        <v>124</v>
      </c>
      <c r="Q9" s="164"/>
      <c r="R9" s="11">
        <f>IF('Beneficiaries (9)'!$P$30&gt;0,1,"")</f>
        <v>1</v>
      </c>
    </row>
    <row r="10">
      <c r="A10" s="144" t="str">
        <f>ID_Valid(E10)</f>
      </c>
      <c r="B10" s="165">
        <v>61</v>
      </c>
      <c r="C10" s="166" t="str">
        <f>IFERROR(INDEX(Logs!$B$2:$B$500,MATCH('Beneficiaries (4)'!$B10,Logs!$A$2:$A$500,0)),"")</f>
        <v>Nobedesho</v>
      </c>
      <c r="D10" s="166" t="str">
        <f>IFERROR(INDEX(Logs!$C$2:$C$500,MATCH('Beneficiaries (4)'!$B10,Logs!$A$2:$A$500,0)),"")</f>
        <v>Mdutyulwa</v>
      </c>
      <c r="E10" s="167" t="str">
        <f>IFERROR(INDEX(Logs!$D$2:$D$500,MATCH('Beneficiaries (4)'!$B10,Logs!$A$2:$A$500,0)),"")</f>
        <v>7312261147088</v>
      </c>
      <c r="F10" s="168" t="s">
        <v>125</v>
      </c>
      <c r="G10" s="165" t="str">
        <f>TheGender(E10)</f>
        <v>F</v>
      </c>
      <c r="H10" s="165" t="s">
        <v>125</v>
      </c>
      <c r="I10" s="169" t="s">
        <v>126</v>
      </c>
      <c r="J10" s="170" t="str">
        <f>IFERROR(INDEX(Logs!$E$2:$E$500,MATCH('Beneficiaries (4)'!$B10,Logs!$A$2:$A$500,0)),"")</f>
        <v>15/05/0007</v>
      </c>
      <c r="K10" s="170" t="str">
        <f>IFERROR(INDEX(Logs!$F$2:$F$500,MATCH('Beneficiaries (4)'!$B10,Logs!$A$2:$A$500,0)),"")</f>
        <v>14/04/0037</v>
      </c>
      <c r="L10" s="165">
        <f>IFERROR(INDEX(Logs!$G$2:$G$500,MATCH('Beneficiaries (4)'!$B10,Logs!$A$2:$A$500,0)),0)</f>
        <v>16</v>
      </c>
      <c r="M10" s="165">
        <v>0</v>
      </c>
      <c r="N10" s="165">
        <f>M10+L10</f>
        <v>16</v>
      </c>
      <c r="O10" s="171">
        <f>IFERROR(INDEX(Logs!$H$2:$H$500,MATCH('Beneficiaries (4)'!$B10,Logs!$A$2:$A$500,0)),)</f>
        <v>204.16</v>
      </c>
      <c r="P10" s="172">
        <f>IFERROR(N10*O10,0)</f>
        <v>3266.56</v>
      </c>
      <c r="Q10" s="173"/>
      <c r="R10" s="11">
        <f>IF('Beneficiaries (10)'!$P$30&gt;0,1,"")</f>
        <v>1</v>
      </c>
    </row>
    <row r="11">
      <c r="A11" s="144" t="str">
        <f>ID_Valid(E11)</f>
      </c>
      <c r="B11" s="165">
        <v>62</v>
      </c>
      <c r="C11" s="166" t="str">
        <f>IFERROR(INDEX(Logs!$B$2:$B$500,MATCH('Beneficiaries (4)'!$B11,Logs!$A$2:$A$500,0)),"")</f>
        <v>Bolekwa</v>
      </c>
      <c r="D11" s="166" t="str">
        <f>IFERROR(INDEX(Logs!$C$2:$C$500,MATCH('Beneficiaries (4)'!$B11,Logs!$A$2:$A$500,0)),"")</f>
        <v>Matyeni</v>
      </c>
      <c r="E11" s="167" t="str">
        <f>IFERROR(INDEX(Logs!$D$2:$D$500,MATCH('Beneficiaries (4)'!$B11,Logs!$A$2:$A$500,0)),"")</f>
        <v>8607051144081</v>
      </c>
      <c r="F11" s="168" t="s">
        <v>125</v>
      </c>
      <c r="G11" s="165" t="str">
        <f>TheGender(E11)</f>
        <v>F</v>
      </c>
      <c r="H11" s="165" t="s">
        <v>125</v>
      </c>
      <c r="I11" s="165" t="s">
        <v>126</v>
      </c>
      <c r="J11" s="165" t="str">
        <f>IFERROR(INDEX(Logs!$E$2:$E$500,MATCH('Beneficiaries (4)'!$B11,Logs!$A$2:$A$500,0)),"")</f>
        <v>15/05/0007</v>
      </c>
      <c r="K11" s="165" t="str">
        <f>IFERROR(INDEX(Logs!$F$2:$F$500,MATCH('Beneficiaries (4)'!$B11,Logs!$A$2:$A$500,0)),"")</f>
        <v>14/04/0037</v>
      </c>
      <c r="L11" s="165">
        <f>IFERROR(INDEX(Logs!$G$2:$G$500,MATCH('Beneficiaries (4)'!$B11,Logs!$A$2:$A$500,0)),0)</f>
        <v>16</v>
      </c>
      <c r="M11" s="165">
        <v>0</v>
      </c>
      <c r="N11" s="165">
        <f>L11+M11</f>
        <v>16</v>
      </c>
      <c r="O11" s="171">
        <f>IFERROR(INDEX(Logs!$H$2:$H$500,MATCH('Beneficiaries (4)'!$B11,Logs!$A$2:$A$500,0)),)</f>
        <v>204.16</v>
      </c>
      <c r="P11" s="172">
        <f>IFERROR(N11*O11,0)</f>
        <v>3266.56</v>
      </c>
      <c r="Q11" s="173"/>
      <c r="R11" s="11">
        <f>IF('Beneficiaries (11)'!$P$30&gt;0,1,"")</f>
        <v>1</v>
      </c>
    </row>
    <row r="12">
      <c r="A12" s="144" t="str">
        <f>ID_Valid(E12)</f>
      </c>
      <c r="B12" s="165">
        <v>63</v>
      </c>
      <c r="C12" s="166" t="str">
        <f>IFERROR(INDEX(Logs!$B$2:$B$500,MATCH('Beneficiaries (4)'!$B12,Logs!$A$2:$A$500,0)),"")</f>
        <v>Nandipha</v>
      </c>
      <c r="D12" s="166" t="str">
        <f>IFERROR(INDEX(Logs!$C$2:$C$500,MATCH('Beneficiaries (4)'!$B12,Logs!$A$2:$A$500,0)),"")</f>
        <v>Mbalekwa</v>
      </c>
      <c r="E12" s="167" t="str">
        <f>IFERROR(INDEX(Logs!$D$2:$D$500,MATCH('Beneficiaries (4)'!$B12,Logs!$A$2:$A$500,0)),"")</f>
        <v>8409201011082</v>
      </c>
      <c r="F12" s="168" t="s">
        <v>125</v>
      </c>
      <c r="G12" s="165" t="str">
        <f>TheGender(E12)</f>
        <v>F</v>
      </c>
      <c r="H12" s="165" t="s">
        <v>125</v>
      </c>
      <c r="I12" s="165" t="s">
        <v>126</v>
      </c>
      <c r="J12" s="165" t="str">
        <f>IFERROR(INDEX(Logs!$E$2:$E$500,MATCH('Beneficiaries (4)'!$B12,Logs!$A$2:$A$500,0)),"")</f>
        <v>15/05/0007</v>
      </c>
      <c r="K12" s="165" t="str">
        <f>IFERROR(INDEX(Logs!$F$2:$F$500,MATCH('Beneficiaries (4)'!$B12,Logs!$A$2:$A$500,0)),"")</f>
        <v>14/04/0037</v>
      </c>
      <c r="L12" s="165">
        <f>IFERROR(INDEX(Logs!$G$2:$G$500,MATCH('Beneficiaries (4)'!$B12,Logs!$A$2:$A$500,0)),0)</f>
        <v>16</v>
      </c>
      <c r="M12" s="165">
        <v>0</v>
      </c>
      <c r="N12" s="165">
        <f>L12+M12</f>
        <v>16</v>
      </c>
      <c r="O12" s="171">
        <f>IFERROR(INDEX(Logs!$H$2:$H$500,MATCH('Beneficiaries (4)'!$B12,Logs!$A$2:$A$500,0)),)</f>
        <v>204.16</v>
      </c>
      <c r="P12" s="172">
        <f>IFERROR(N12*O12,0)</f>
        <v>3266.56</v>
      </c>
      <c r="Q12" s="173"/>
      <c r="R12" s="11">
        <f>IF('Beneficiaries (12)'!$P$30&gt;0,1,"")</f>
        <v>1</v>
      </c>
    </row>
    <row r="13">
      <c r="A13" s="144" t="str">
        <f>ID_Valid(E13)</f>
      </c>
      <c r="B13" s="165">
        <v>64</v>
      </c>
      <c r="C13" s="166" t="str">
        <f>IFERROR(INDEX(Logs!$B$2:$B$500,MATCH('Beneficiaries (4)'!$B13,Logs!$A$2:$A$500,0)),"")</f>
        <v>Ncedisa</v>
      </c>
      <c r="D13" s="166" t="str">
        <f>IFERROR(INDEX(Logs!$C$2:$C$500,MATCH('Beneficiaries (4)'!$B13,Logs!$A$2:$A$500,0)),"")</f>
        <v>Gwija</v>
      </c>
      <c r="E13" s="167" t="str">
        <f>IFERROR(INDEX(Logs!$D$2:$D$500,MATCH('Beneficiaries (4)'!$B13,Logs!$A$2:$A$500,0)),"")</f>
        <v>8502201187082</v>
      </c>
      <c r="F13" s="168" t="s">
        <v>125</v>
      </c>
      <c r="G13" s="165" t="str">
        <f>TheGender(E13)</f>
        <v>F</v>
      </c>
      <c r="H13" s="165" t="s">
        <v>125</v>
      </c>
      <c r="I13" s="165" t="s">
        <v>126</v>
      </c>
      <c r="J13" s="165" t="str">
        <f>IFERROR(INDEX(Logs!$E$2:$E$500,MATCH('Beneficiaries (4)'!$B13,Logs!$A$2:$A$500,0)),"")</f>
        <v>15/05/0007</v>
      </c>
      <c r="K13" s="165" t="str">
        <f>IFERROR(INDEX(Logs!$F$2:$F$500,MATCH('Beneficiaries (4)'!$B13,Logs!$A$2:$A$500,0)),"")</f>
        <v>14/04/0037</v>
      </c>
      <c r="L13" s="165">
        <f>IFERROR(INDEX(Logs!$G$2:$G$500,MATCH('Beneficiaries (4)'!$B13,Logs!$A$2:$A$500,0)),0)</f>
        <v>16</v>
      </c>
      <c r="M13" s="165">
        <v>0</v>
      </c>
      <c r="N13" s="165">
        <f>L13+M13</f>
        <v>16</v>
      </c>
      <c r="O13" s="171">
        <f>IFERROR(INDEX(Logs!$H$2:$H$500,MATCH('Beneficiaries (4)'!$B13,Logs!$A$2:$A$500,0)),)</f>
        <v>204.16</v>
      </c>
      <c r="P13" s="172">
        <f>IFERROR(N13*O13,0)</f>
        <v>3266.56</v>
      </c>
      <c r="Q13" s="173"/>
      <c r="R13" s="11">
        <f>IF('Beneficiaries (13)'!$P$30&gt;0,1,"")</f>
        <v>1</v>
      </c>
    </row>
    <row r="14">
      <c r="A14" s="144" t="str">
        <f>ID_Valid(E14)</f>
      </c>
      <c r="B14" s="165">
        <v>65</v>
      </c>
      <c r="C14" s="166" t="str">
        <f>IFERROR(INDEX(Logs!$B$2:$B$500,MATCH('Beneficiaries (4)'!$B14,Logs!$A$2:$A$500,0)),"")</f>
        <v>Aviwe</v>
      </c>
      <c r="D14" s="166" t="str">
        <f>IFERROR(INDEX(Logs!$C$2:$C$500,MATCH('Beneficiaries (4)'!$B14,Logs!$A$2:$A$500,0)),"")</f>
        <v>Totoyi</v>
      </c>
      <c r="E14" s="167" t="str">
        <f>IFERROR(INDEX(Logs!$D$2:$D$500,MATCH('Beneficiaries (4)'!$B14,Logs!$A$2:$A$500,0)),"")</f>
        <v>8711161072081</v>
      </c>
      <c r="F14" s="168" t="s">
        <v>125</v>
      </c>
      <c r="G14" s="165" t="str">
        <f>TheGender(E14)</f>
        <v>F</v>
      </c>
      <c r="H14" s="165" t="s">
        <v>125</v>
      </c>
      <c r="I14" s="165" t="s">
        <v>126</v>
      </c>
      <c r="J14" s="165" t="str">
        <f>IFERROR(INDEX(Logs!$E$2:$E$500,MATCH('Beneficiaries (4)'!$B14,Logs!$A$2:$A$500,0)),"")</f>
        <v>15/05/0007</v>
      </c>
      <c r="K14" s="165" t="str">
        <f>IFERROR(INDEX(Logs!$F$2:$F$500,MATCH('Beneficiaries (4)'!$B14,Logs!$A$2:$A$500,0)),"")</f>
        <v>14/04/0037</v>
      </c>
      <c r="L14" s="165">
        <f>IFERROR(INDEX(Logs!$G$2:$G$500,MATCH('Beneficiaries (4)'!$B14,Logs!$A$2:$A$500,0)),0)</f>
        <v>16</v>
      </c>
      <c r="M14" s="165">
        <v>0</v>
      </c>
      <c r="N14" s="165">
        <f>L14+M14</f>
        <v>16</v>
      </c>
      <c r="O14" s="171">
        <f>IFERROR(INDEX(Logs!$H$2:$H$500,MATCH('Beneficiaries (4)'!$B14,Logs!$A$2:$A$500,0)),)</f>
        <v>204.16</v>
      </c>
      <c r="P14" s="172">
        <f>IFERROR(N14*O14,0)</f>
        <v>3266.56</v>
      </c>
      <c r="Q14" s="173"/>
      <c r="R14" s="11">
        <f>IF('Beneficiaries (14)'!$P$30&gt;0,1,"")</f>
        <v>1</v>
      </c>
    </row>
    <row r="15">
      <c r="A15" s="144" t="str">
        <f>ID_Valid(E15)</f>
      </c>
      <c r="B15" s="165">
        <v>66</v>
      </c>
      <c r="C15" s="166" t="str">
        <f>IFERROR(INDEX(Logs!$B$2:$B$500,MATCH('Beneficiaries (4)'!$B15,Logs!$A$2:$A$500,0)),"")</f>
        <v>Ivy</v>
      </c>
      <c r="D15" s="166" t="str">
        <f>IFERROR(INDEX(Logs!$C$2:$C$500,MATCH('Beneficiaries (4)'!$B15,Logs!$A$2:$A$500,0)),"")</f>
        <v>Vikimpi</v>
      </c>
      <c r="E15" s="167" t="str">
        <f>IFERROR(INDEX(Logs!$D$2:$D$500,MATCH('Beneficiaries (4)'!$B15,Logs!$A$2:$A$500,0)),"")</f>
        <v>8106190991080</v>
      </c>
      <c r="F15" s="168" t="s">
        <v>125</v>
      </c>
      <c r="G15" s="165" t="str">
        <f>TheGender(E15)</f>
        <v>F</v>
      </c>
      <c r="H15" s="165" t="s">
        <v>125</v>
      </c>
      <c r="I15" s="165" t="s">
        <v>126</v>
      </c>
      <c r="J15" s="165" t="str">
        <f>IFERROR(INDEX(Logs!$E$2:$E$500,MATCH('Beneficiaries (4)'!$B15,Logs!$A$2:$A$500,0)),"")</f>
        <v>15/05/0007</v>
      </c>
      <c r="K15" s="165" t="str">
        <f>IFERROR(INDEX(Logs!$F$2:$F$500,MATCH('Beneficiaries (4)'!$B15,Logs!$A$2:$A$500,0)),"")</f>
        <v>14/04/0037</v>
      </c>
      <c r="L15" s="165">
        <f>IFERROR(INDEX(Logs!$G$2:$G$500,MATCH('Beneficiaries (4)'!$B15,Logs!$A$2:$A$500,0)),0)</f>
        <v>16</v>
      </c>
      <c r="M15" s="165">
        <v>0</v>
      </c>
      <c r="N15" s="165">
        <f>L15+M15</f>
        <v>16</v>
      </c>
      <c r="O15" s="171">
        <f>IFERROR(INDEX(Logs!$H$2:$H$500,MATCH('Beneficiaries (4)'!$B15,Logs!$A$2:$A$500,0)),)</f>
        <v>204.16</v>
      </c>
      <c r="P15" s="172">
        <f>IFERROR(N15*O15,0)</f>
        <v>3266.56</v>
      </c>
      <c r="Q15" s="173"/>
      <c r="R15" s="11"/>
    </row>
    <row r="16">
      <c r="A16" s="144" t="str">
        <f>ID_Valid(E16)</f>
      </c>
      <c r="B16" s="165">
        <v>67</v>
      </c>
      <c r="C16" s="166" t="str">
        <f>IFERROR(INDEX(Logs!$B$2:$B$500,MATCH('Beneficiaries (4)'!$B16,Logs!$A$2:$A$500,0)),"")</f>
        <v>Bukiwe</v>
      </c>
      <c r="D16" s="166" t="str">
        <f>IFERROR(INDEX(Logs!$C$2:$C$500,MATCH('Beneficiaries (4)'!$B16,Logs!$A$2:$A$500,0)),"")</f>
        <v>Didi</v>
      </c>
      <c r="E16" s="167" t="str">
        <f>IFERROR(INDEX(Logs!$D$2:$D$500,MATCH('Beneficiaries (4)'!$B16,Logs!$A$2:$A$500,0)),"")</f>
        <v>8603130395083</v>
      </c>
      <c r="F16" s="168" t="s">
        <v>125</v>
      </c>
      <c r="G16" s="165" t="str">
        <f>TheGender(E16)</f>
        <v>F</v>
      </c>
      <c r="H16" s="165" t="s">
        <v>125</v>
      </c>
      <c r="I16" s="165" t="s">
        <v>126</v>
      </c>
      <c r="J16" s="165" t="str">
        <f>IFERROR(INDEX(Logs!$E$2:$E$500,MATCH('Beneficiaries (4)'!$B16,Logs!$A$2:$A$500,0)),"")</f>
        <v>15/05/0007</v>
      </c>
      <c r="K16" s="165" t="str">
        <f>IFERROR(INDEX(Logs!$F$2:$F$500,MATCH('Beneficiaries (4)'!$B16,Logs!$A$2:$A$500,0)),"")</f>
        <v>14/04/0037</v>
      </c>
      <c r="L16" s="165">
        <f>IFERROR(INDEX(Logs!$G$2:$G$500,MATCH('Beneficiaries (4)'!$B16,Logs!$A$2:$A$500,0)),0)</f>
        <v>16</v>
      </c>
      <c r="M16" s="165">
        <v>0</v>
      </c>
      <c r="N16" s="165">
        <f>L16+M16</f>
        <v>16</v>
      </c>
      <c r="O16" s="171">
        <f>IFERROR(INDEX(Logs!$H$2:$H$500,MATCH('Beneficiaries (4)'!$B16,Logs!$A$2:$A$500,0)),)</f>
        <v>204.16</v>
      </c>
      <c r="P16" s="172">
        <f>IFERROR(N16*O16,0)</f>
        <v>3266.56</v>
      </c>
      <c r="Q16" s="173"/>
      <c r="R16" s="11"/>
    </row>
    <row r="17">
      <c r="A17" s="144" t="str">
        <f>ID_Valid(E17)</f>
      </c>
      <c r="B17" s="165">
        <v>68</v>
      </c>
      <c r="C17" s="166" t="str">
        <f>IFERROR(INDEX(Logs!$B$2:$B$500,MATCH('Beneficiaries (4)'!$B17,Logs!$A$2:$A$500,0)),"")</f>
        <v>Mpofukazi</v>
      </c>
      <c r="D17" s="166" t="str">
        <f>IFERROR(INDEX(Logs!$C$2:$C$500,MATCH('Beneficiaries (4)'!$B17,Logs!$A$2:$A$500,0)),"")</f>
        <v>Maphasa</v>
      </c>
      <c r="E17" s="167" t="str">
        <f>IFERROR(INDEX(Logs!$D$2:$D$500,MATCH('Beneficiaries (4)'!$B17,Logs!$A$2:$A$500,0)),"")</f>
        <v>7404130833087</v>
      </c>
      <c r="F17" s="168" t="s">
        <v>125</v>
      </c>
      <c r="G17" s="165" t="str">
        <f>TheGender(E17)</f>
        <v>F</v>
      </c>
      <c r="H17" s="165" t="s">
        <v>125</v>
      </c>
      <c r="I17" s="165" t="s">
        <v>126</v>
      </c>
      <c r="J17" s="165" t="str">
        <f>IFERROR(INDEX(Logs!$E$2:$E$500,MATCH('Beneficiaries (4)'!$B17,Logs!$A$2:$A$500,0)),"")</f>
        <v>15/05/0007</v>
      </c>
      <c r="K17" s="165" t="str">
        <f>IFERROR(INDEX(Logs!$F$2:$F$500,MATCH('Beneficiaries (4)'!$B17,Logs!$A$2:$A$500,0)),"")</f>
        <v>14/04/0037</v>
      </c>
      <c r="L17" s="165">
        <f>IFERROR(INDEX(Logs!$G$2:$G$500,MATCH('Beneficiaries (4)'!$B17,Logs!$A$2:$A$500,0)),0)</f>
        <v>16</v>
      </c>
      <c r="M17" s="165">
        <v>0</v>
      </c>
      <c r="N17" s="165">
        <f>L17+M17</f>
        <v>16</v>
      </c>
      <c r="O17" s="171">
        <f>IFERROR(INDEX(Logs!$H$2:$H$500,MATCH('Beneficiaries (4)'!$B17,Logs!$A$2:$A$500,0)),)</f>
        <v>204.16</v>
      </c>
      <c r="P17" s="172">
        <f>IFERROR(N17*O17,0)</f>
        <v>3266.56</v>
      </c>
      <c r="Q17" s="173"/>
    </row>
    <row r="18">
      <c r="A18" s="144" t="str">
        <f>ID_Valid(E18)</f>
      </c>
      <c r="B18" s="165">
        <v>69</v>
      </c>
      <c r="C18" s="166" t="str">
        <f>IFERROR(INDEX(Logs!$B$2:$B$500,MATCH('Beneficiaries (4)'!$B18,Logs!$A$2:$A$500,0)),"")</f>
        <v>Ntombizanele</v>
      </c>
      <c r="D18" s="166" t="str">
        <f>IFERROR(INDEX(Logs!$C$2:$C$500,MATCH('Beneficiaries (4)'!$B18,Logs!$A$2:$A$500,0)),"")</f>
        <v>Nomayama</v>
      </c>
      <c r="E18" s="167" t="str">
        <f>IFERROR(INDEX(Logs!$D$2:$D$500,MATCH('Beneficiaries (4)'!$B18,Logs!$A$2:$A$500,0)),"")</f>
        <v>8105060879086</v>
      </c>
      <c r="F18" s="168" t="s">
        <v>125</v>
      </c>
      <c r="G18" s="165" t="str">
        <f>TheGender(E18)</f>
        <v>F</v>
      </c>
      <c r="H18" s="165" t="s">
        <v>125</v>
      </c>
      <c r="I18" s="165" t="s">
        <v>126</v>
      </c>
      <c r="J18" s="165" t="str">
        <f>IFERROR(INDEX(Logs!$E$2:$E$500,MATCH('Beneficiaries (4)'!$B18,Logs!$A$2:$A$500,0)),"")</f>
        <v>15/05/0007</v>
      </c>
      <c r="K18" s="165" t="str">
        <f>IFERROR(INDEX(Logs!$F$2:$F$500,MATCH('Beneficiaries (4)'!$B18,Logs!$A$2:$A$500,0)),"")</f>
        <v>14/04/0037</v>
      </c>
      <c r="L18" s="165">
        <f>IFERROR(INDEX(Logs!$G$2:$G$500,MATCH('Beneficiaries (4)'!$B18,Logs!$A$2:$A$500,0)),0)</f>
        <v>16</v>
      </c>
      <c r="M18" s="165">
        <v>0</v>
      </c>
      <c r="N18" s="165">
        <f>L18+M18</f>
        <v>16</v>
      </c>
      <c r="O18" s="171">
        <f>IFERROR(INDEX(Logs!$H$2:$H$500,MATCH('Beneficiaries (4)'!$B18,Logs!$A$2:$A$500,0)),)</f>
        <v>204.16</v>
      </c>
      <c r="P18" s="172">
        <f>IFERROR(N18*O18,0)</f>
        <v>3266.56</v>
      </c>
      <c r="Q18" s="173"/>
    </row>
    <row r="19">
      <c r="A19" s="144" t="str">
        <f>ID_Valid(E19)</f>
      </c>
      <c r="B19" s="165">
        <v>70</v>
      </c>
      <c r="C19" s="166" t="str">
        <f>IFERROR(INDEX(Logs!$B$2:$B$500,MATCH('Beneficiaries (4)'!$B19,Logs!$A$2:$A$500,0)),"")</f>
        <v>Nolusindiso</v>
      </c>
      <c r="D19" s="166" t="str">
        <f>IFERROR(INDEX(Logs!$C$2:$C$500,MATCH('Beneficiaries (4)'!$B19,Logs!$A$2:$A$500,0)),"")</f>
        <v>Limane</v>
      </c>
      <c r="E19" s="167" t="str">
        <f>IFERROR(INDEX(Logs!$D$2:$D$500,MATCH('Beneficiaries (4)'!$B19,Logs!$A$2:$A$500,0)),"")</f>
        <v>8007130760082</v>
      </c>
      <c r="F19" s="168" t="s">
        <v>125</v>
      </c>
      <c r="G19" s="165" t="str">
        <f>TheGender(E19)</f>
        <v>F</v>
      </c>
      <c r="H19" s="165" t="s">
        <v>125</v>
      </c>
      <c r="I19" s="165" t="s">
        <v>126</v>
      </c>
      <c r="J19" s="165" t="str">
        <f>IFERROR(INDEX(Logs!$E$2:$E$500,MATCH('Beneficiaries (4)'!$B19,Logs!$A$2:$A$500,0)),"")</f>
        <v>15/05/0007</v>
      </c>
      <c r="K19" s="165" t="str">
        <f>IFERROR(INDEX(Logs!$F$2:$F$500,MATCH('Beneficiaries (4)'!$B19,Logs!$A$2:$A$500,0)),"")</f>
        <v>14/04/0037</v>
      </c>
      <c r="L19" s="165">
        <f>IFERROR(INDEX(Logs!$G$2:$G$500,MATCH('Beneficiaries (4)'!$B19,Logs!$A$2:$A$500,0)),0)</f>
        <v>16</v>
      </c>
      <c r="M19" s="165">
        <v>0</v>
      </c>
      <c r="N19" s="165">
        <f>L19+M19</f>
        <v>16</v>
      </c>
      <c r="O19" s="171">
        <f>IFERROR(INDEX(Logs!$H$2:$H$500,MATCH('Beneficiaries (4)'!$B19,Logs!$A$2:$A$500,0)),)</f>
        <v>204.16</v>
      </c>
      <c r="P19" s="172">
        <f>IFERROR(N19*O19,0)</f>
        <v>3266.56</v>
      </c>
      <c r="Q19" s="173"/>
    </row>
    <row r="20">
      <c r="A20" s="144" t="str">
        <f>ID_Valid(E20)</f>
      </c>
      <c r="B20" s="165">
        <v>71</v>
      </c>
      <c r="C20" s="166" t="str">
        <f>IFERROR(INDEX(Logs!$B$2:$B$500,MATCH('Beneficiaries (4)'!$B20,Logs!$A$2:$A$500,0)),"")</f>
        <v>Jabulisile</v>
      </c>
      <c r="D20" s="166" t="str">
        <f>IFERROR(INDEX(Logs!$C$2:$C$500,MATCH('Beneficiaries (4)'!$B20,Logs!$A$2:$A$500,0)),"")</f>
        <v>Mbundu</v>
      </c>
      <c r="E20" s="167" t="str">
        <f>IFERROR(INDEX(Logs!$D$2:$D$500,MATCH('Beneficiaries (4)'!$B20,Logs!$A$2:$A$500,0)),"")</f>
        <v>8201150966089</v>
      </c>
      <c r="F20" s="168" t="s">
        <v>125</v>
      </c>
      <c r="G20" s="165" t="str">
        <f>TheGender(E20)</f>
        <v>F</v>
      </c>
      <c r="H20" s="165" t="s">
        <v>125</v>
      </c>
      <c r="I20" s="165" t="s">
        <v>126</v>
      </c>
      <c r="J20" s="165" t="str">
        <f>IFERROR(INDEX(Logs!$E$2:$E$500,MATCH('Beneficiaries (4)'!$B20,Logs!$A$2:$A$500,0)),"")</f>
        <v>15/05/0007</v>
      </c>
      <c r="K20" s="165" t="str">
        <f>IFERROR(INDEX(Logs!$F$2:$F$500,MATCH('Beneficiaries (4)'!$B20,Logs!$A$2:$A$500,0)),"")</f>
        <v>14/04/0037</v>
      </c>
      <c r="L20" s="165">
        <f>IFERROR(INDEX(Logs!$G$2:$G$500,MATCH('Beneficiaries (4)'!$B20,Logs!$A$2:$A$500,0)),0)</f>
        <v>16</v>
      </c>
      <c r="M20" s="165">
        <v>0</v>
      </c>
      <c r="N20" s="165">
        <f>L20+M20</f>
        <v>16</v>
      </c>
      <c r="O20" s="171">
        <f>IFERROR(INDEX(Logs!$H$2:$H$500,MATCH('Beneficiaries (4)'!$B20,Logs!$A$2:$A$500,0)),)</f>
        <v>204.16</v>
      </c>
      <c r="P20" s="172">
        <f>IFERROR(N20*O20,0)</f>
        <v>3266.56</v>
      </c>
      <c r="Q20" s="173"/>
    </row>
    <row r="21">
      <c r="A21" s="144" t="str">
        <f>ID_Valid(E21)</f>
      </c>
      <c r="B21" s="165">
        <v>72</v>
      </c>
      <c r="C21" s="166" t="str">
        <f>IFERROR(INDEX(Logs!$B$2:$B$500,MATCH('Beneficiaries (4)'!$B21,Logs!$A$2:$A$500,0)),"")</f>
        <v>Nokwayintombi</v>
      </c>
      <c r="D21" s="166" t="str">
        <f>IFERROR(INDEX(Logs!$C$2:$C$500,MATCH('Beneficiaries (4)'!$B21,Logs!$A$2:$A$500,0)),"")</f>
        <v>Botha</v>
      </c>
      <c r="E21" s="167" t="str">
        <f>IFERROR(INDEX(Logs!$D$2:$D$500,MATCH('Beneficiaries (4)'!$B21,Logs!$A$2:$A$500,0)),"")</f>
        <v>7308280810086</v>
      </c>
      <c r="F21" s="168" t="s">
        <v>125</v>
      </c>
      <c r="G21" s="165" t="str">
        <f>TheGender(E21)</f>
        <v>F</v>
      </c>
      <c r="H21" s="165" t="s">
        <v>125</v>
      </c>
      <c r="I21" s="165" t="s">
        <v>126</v>
      </c>
      <c r="J21" s="165" t="str">
        <f>IFERROR(INDEX(Logs!$E$2:$E$500,MATCH('Beneficiaries (4)'!$B21,Logs!$A$2:$A$500,0)),"")</f>
        <v>15/05/0007</v>
      </c>
      <c r="K21" s="165" t="str">
        <f>IFERROR(INDEX(Logs!$F$2:$F$500,MATCH('Beneficiaries (4)'!$B21,Logs!$A$2:$A$500,0)),"")</f>
        <v>14/04/0037</v>
      </c>
      <c r="L21" s="165">
        <f>IFERROR(INDEX(Logs!$G$2:$G$500,MATCH('Beneficiaries (4)'!$B21,Logs!$A$2:$A$500,0)),0)</f>
        <v>16</v>
      </c>
      <c r="M21" s="165">
        <v>0</v>
      </c>
      <c r="N21" s="165">
        <f>L21+M21</f>
        <v>16</v>
      </c>
      <c r="O21" s="171">
        <f>IFERROR(INDEX(Logs!$H$2:$H$500,MATCH('Beneficiaries (4)'!$B21,Logs!$A$2:$A$500,0)),)</f>
        <v>204.16</v>
      </c>
      <c r="P21" s="172">
        <f>IFERROR(N21*O21,0)</f>
        <v>3266.56</v>
      </c>
      <c r="Q21" s="173"/>
    </row>
    <row r="22">
      <c r="A22" s="144" t="str">
        <f>ID_Valid(E22)</f>
      </c>
      <c r="B22" s="165">
        <v>73</v>
      </c>
      <c r="C22" s="174" t="str">
        <f>IFERROR(INDEX(Logs!$B$2:$B$500,MATCH('Beneficiaries (4)'!$B22,Logs!$A$2:$A$500,0)),"")</f>
        <v>Phumza</v>
      </c>
      <c r="D22" s="166" t="str">
        <f>IFERROR(INDEX(Logs!$C$2:$C$500,MATCH('Beneficiaries (4)'!$B22,Logs!$A$2:$A$500,0)),"")</f>
        <v>Stondo</v>
      </c>
      <c r="E22" s="167" t="str">
        <f>IFERROR(INDEX(Logs!$D$2:$D$500,MATCH('Beneficiaries (4)'!$B22,Logs!$A$2:$A$500,0)),"")</f>
        <v>8511100577087</v>
      </c>
      <c r="F22" s="168" t="s">
        <v>125</v>
      </c>
      <c r="G22" s="165" t="str">
        <f>TheGender(E22)</f>
        <v>F</v>
      </c>
      <c r="H22" s="165" t="s">
        <v>125</v>
      </c>
      <c r="I22" s="165" t="s">
        <v>126</v>
      </c>
      <c r="J22" s="165" t="str">
        <f>IFERROR(INDEX(Logs!$E$2:$E$500,MATCH('Beneficiaries (4)'!$B22,Logs!$A$2:$A$500,0)),"")</f>
        <v>15/05/0007</v>
      </c>
      <c r="K22" s="165" t="str">
        <f>IFERROR(INDEX(Logs!$F$2:$F$500,MATCH('Beneficiaries (4)'!$B22,Logs!$A$2:$A$500,0)),"")</f>
        <v>14/04/0037</v>
      </c>
      <c r="L22" s="165">
        <f>IFERROR(INDEX(Logs!$G$2:$G$500,MATCH('Beneficiaries (4)'!$B22,Logs!$A$2:$A$500,0)),0)</f>
        <v>16</v>
      </c>
      <c r="M22" s="165">
        <v>0</v>
      </c>
      <c r="N22" s="165">
        <f>L22+M22</f>
        <v>16</v>
      </c>
      <c r="O22" s="171">
        <f>IFERROR(INDEX(Logs!$H$2:$H$500,MATCH('Beneficiaries (4)'!$B22,Logs!$A$2:$A$500,0)),)</f>
        <v>204.16</v>
      </c>
      <c r="P22" s="172">
        <f>IFERROR(N22*O22,0)</f>
        <v>3266.56</v>
      </c>
      <c r="Q22" s="173"/>
    </row>
    <row r="23">
      <c r="A23" s="144" t="str">
        <f>ID_Valid(E23)</f>
      </c>
      <c r="B23" s="165">
        <v>74</v>
      </c>
      <c r="C23" s="174" t="str">
        <f>IFERROR(INDEX(Logs!$B$2:$B$500,MATCH('Beneficiaries (4)'!$B23,Logs!$A$2:$A$500,0)),"")</f>
        <v>Nolundi</v>
      </c>
      <c r="D23" s="166" t="str">
        <f>IFERROR(INDEX(Logs!$C$2:$C$500,MATCH('Beneficiaries (4)'!$B23,Logs!$A$2:$A$500,0)),"")</f>
        <v>Finya</v>
      </c>
      <c r="E23" s="167" t="str">
        <f>IFERROR(INDEX(Logs!$D$2:$D$500,MATCH('Beneficiaries (4)'!$B23,Logs!$A$2:$A$500,0)),"")</f>
        <v>7905290735086</v>
      </c>
      <c r="F23" s="168" t="s">
        <v>125</v>
      </c>
      <c r="G23" s="165" t="str">
        <f>TheGender(E23)</f>
        <v>F</v>
      </c>
      <c r="H23" s="165" t="s">
        <v>125</v>
      </c>
      <c r="I23" s="165" t="s">
        <v>126</v>
      </c>
      <c r="J23" s="165" t="str">
        <f>IFERROR(INDEX(Logs!$E$2:$E$500,MATCH('Beneficiaries (4)'!$B23,Logs!$A$2:$A$500,0)),"")</f>
        <v>15/05/0007</v>
      </c>
      <c r="K23" s="165" t="str">
        <f>IFERROR(INDEX(Logs!$F$2:$F$500,MATCH('Beneficiaries (4)'!$B23,Logs!$A$2:$A$500,0)),"")</f>
        <v>14/04/0037</v>
      </c>
      <c r="L23" s="165">
        <f>IFERROR(INDEX(Logs!$G$2:$G$500,MATCH('Beneficiaries (4)'!$B23,Logs!$A$2:$A$500,0)),0)</f>
        <v>16</v>
      </c>
      <c r="M23" s="165">
        <v>0</v>
      </c>
      <c r="N23" s="165">
        <f>L23+M23</f>
        <v>16</v>
      </c>
      <c r="O23" s="171">
        <f>IFERROR(INDEX(Logs!$H$2:$H$500,MATCH('Beneficiaries (4)'!$B23,Logs!$A$2:$A$500,0)),)</f>
        <v>204.16</v>
      </c>
      <c r="P23" s="172">
        <f>IFERROR(N23*O23,0)</f>
        <v>3266.56</v>
      </c>
      <c r="Q23" s="173"/>
    </row>
    <row r="24">
      <c r="A24" s="144" t="str">
        <f>ID_Valid(E24)</f>
      </c>
      <c r="B24" s="165">
        <v>75</v>
      </c>
      <c r="C24" s="174" t="str">
        <f>IFERROR(INDEX(Logs!$B$2:$B$500,MATCH('Beneficiaries (4)'!$B24,Logs!$A$2:$A$500,0)),"")</f>
        <v>Nosibulele</v>
      </c>
      <c r="D24" s="166" t="str">
        <f>IFERROR(INDEX(Logs!$C$2:$C$500,MATCH('Beneficiaries (4)'!$B24,Logs!$A$2:$A$500,0)),"")</f>
        <v>Tshaka</v>
      </c>
      <c r="E24" s="167" t="str">
        <f>IFERROR(INDEX(Logs!$D$2:$D$500,MATCH('Beneficiaries (4)'!$B24,Logs!$A$2:$A$500,0)),"")</f>
        <v>8611260392085</v>
      </c>
      <c r="F24" s="168" t="s">
        <v>125</v>
      </c>
      <c r="G24" s="165" t="str">
        <f>TheGender(E24)</f>
        <v>F</v>
      </c>
      <c r="H24" s="165" t="s">
        <v>125</v>
      </c>
      <c r="I24" s="165" t="s">
        <v>126</v>
      </c>
      <c r="J24" s="165" t="str">
        <f>IFERROR(INDEX(Logs!$E$2:$E$500,MATCH('Beneficiaries (4)'!$B24,Logs!$A$2:$A$500,0)),"")</f>
        <v>15/05/0007</v>
      </c>
      <c r="K24" s="165" t="str">
        <f>IFERROR(INDEX(Logs!$F$2:$F$500,MATCH('Beneficiaries (4)'!$B24,Logs!$A$2:$A$500,0)),"")</f>
        <v>14/04/0037</v>
      </c>
      <c r="L24" s="165">
        <f>IFERROR(INDEX(Logs!$G$2:$G$500,MATCH('Beneficiaries (4)'!$B24,Logs!$A$2:$A$500,0)),0)</f>
        <v>16</v>
      </c>
      <c r="M24" s="165">
        <v>0</v>
      </c>
      <c r="N24" s="165">
        <f>L24+M24</f>
        <v>16</v>
      </c>
      <c r="O24" s="171">
        <f>IFERROR(INDEX(Logs!$H$2:$H$500,MATCH('Beneficiaries (4)'!$B24,Logs!$A$2:$A$500,0)),)</f>
        <v>204.16</v>
      </c>
      <c r="P24" s="172">
        <f>IFERROR(N24*O24,0)</f>
        <v>3266.56</v>
      </c>
      <c r="Q24" s="173"/>
    </row>
    <row r="25">
      <c r="A25" s="144" t="str">
        <f>ID_Valid(E25)</f>
      </c>
      <c r="B25" s="165">
        <v>76</v>
      </c>
      <c r="C25" s="170" t="str">
        <f>IFERROR(INDEX(Logs!$B$2:$B$500,MATCH('Beneficiaries (4)'!$B25,Logs!$A$2:$A$500,0)),"")</f>
        <v>Nomandla</v>
      </c>
      <c r="D25" s="166" t="str">
        <f>IFERROR(INDEX(Logs!$C$2:$C$500,MATCH('Beneficiaries (4)'!$B25,Logs!$A$2:$A$500,0)),"")</f>
        <v>Geca</v>
      </c>
      <c r="E25" s="167" t="str">
        <f>IFERROR(INDEX(Logs!$D$2:$D$500,MATCH('Beneficiaries (4)'!$B25,Logs!$A$2:$A$500,0)),"")</f>
        <v>8211260586081</v>
      </c>
      <c r="F25" s="168" t="s">
        <v>125</v>
      </c>
      <c r="G25" s="165" t="str">
        <f>TheGender(E25)</f>
        <v>F</v>
      </c>
      <c r="H25" s="165" t="s">
        <v>125</v>
      </c>
      <c r="I25" s="165" t="s">
        <v>126</v>
      </c>
      <c r="J25" s="165" t="str">
        <f>IFERROR(INDEX(Logs!$E$2:$E$500,MATCH('Beneficiaries (4)'!$B25,Logs!$A$2:$A$500,0)),"")</f>
        <v>15/05/0007</v>
      </c>
      <c r="K25" s="165" t="str">
        <f>IFERROR(INDEX(Logs!$F$2:$F$500,MATCH('Beneficiaries (4)'!$B25,Logs!$A$2:$A$500,0)),"")</f>
        <v>14/04/0037</v>
      </c>
      <c r="L25" s="165">
        <f>IFERROR(INDEX(Logs!$G$2:$G$500,MATCH('Beneficiaries (4)'!$B25,Logs!$A$2:$A$500,0)),0)</f>
        <v>16</v>
      </c>
      <c r="M25" s="165">
        <v>0</v>
      </c>
      <c r="N25" s="165">
        <f>L25+M25</f>
        <v>16</v>
      </c>
      <c r="O25" s="171">
        <f>IFERROR(INDEX(Logs!$H$2:$H$500,MATCH('Beneficiaries (4)'!$B25,Logs!$A$2:$A$500,0)),)</f>
        <v>204.16</v>
      </c>
      <c r="P25" s="172">
        <f>IFERROR(N25*O25,0)</f>
        <v>3266.56</v>
      </c>
      <c r="Q25" s="173"/>
    </row>
    <row r="26">
      <c r="A26" s="144" t="str">
        <f>ID_Valid(E26)</f>
      </c>
      <c r="B26" s="165">
        <v>77</v>
      </c>
      <c r="C26" s="170" t="str">
        <f>IFERROR(INDEX(Logs!$B$2:$B$500,MATCH('Beneficiaries (4)'!$B26,Logs!$A$2:$A$500,0)),"")</f>
        <v>lindiwe</v>
      </c>
      <c r="D26" s="166" t="str">
        <f>IFERROR(INDEX(Logs!$C$2:$C$500,MATCH('Beneficiaries (4)'!$B26,Logs!$A$2:$A$500,0)),"")</f>
        <v>Tebekwana</v>
      </c>
      <c r="E26" s="167" t="str">
        <f>IFERROR(INDEX(Logs!$D$2:$D$500,MATCH('Beneficiaries (4)'!$B26,Logs!$A$2:$A$500,0)),"")</f>
        <v>7803070852082</v>
      </c>
      <c r="F26" s="168" t="s">
        <v>125</v>
      </c>
      <c r="G26" s="165" t="str">
        <f>TheGender(E26)</f>
        <v>F</v>
      </c>
      <c r="H26" s="165" t="s">
        <v>125</v>
      </c>
      <c r="I26" s="165" t="s">
        <v>126</v>
      </c>
      <c r="J26" s="165" t="str">
        <f>IFERROR(INDEX(Logs!$E$2:$E$500,MATCH('Beneficiaries (4)'!$B26,Logs!$A$2:$A$500,0)),"")</f>
        <v>15/05/0007</v>
      </c>
      <c r="K26" s="165" t="str">
        <f>IFERROR(INDEX(Logs!$F$2:$F$500,MATCH('Beneficiaries (4)'!$B26,Logs!$A$2:$A$500,0)),"")</f>
        <v>14/04/0037</v>
      </c>
      <c r="L26" s="165">
        <f>IFERROR(INDEX(Logs!$G$2:$G$500,MATCH('Beneficiaries (4)'!$B26,Logs!$A$2:$A$500,0)),0)</f>
        <v>16</v>
      </c>
      <c r="M26" s="165">
        <v>0</v>
      </c>
      <c r="N26" s="165">
        <f>L26+M26</f>
        <v>16</v>
      </c>
      <c r="O26" s="171">
        <f>IFERROR(INDEX(Logs!$H$2:$H$500,MATCH('Beneficiaries (4)'!$B26,Logs!$A$2:$A$500,0)),)</f>
        <v>204.16</v>
      </c>
      <c r="P26" s="172">
        <f>IFERROR(N26*O26,0)</f>
        <v>3266.56</v>
      </c>
      <c r="Q26" s="173"/>
    </row>
    <row r="27">
      <c r="A27" s="144" t="str">
        <f>ID_Valid(E27)</f>
      </c>
      <c r="B27" s="165">
        <v>78</v>
      </c>
      <c r="C27" s="170" t="str">
        <f>IFERROR(INDEX(Logs!$B$2:$B$500,MATCH('Beneficiaries (4)'!$B27,Logs!$A$2:$A$500,0)),"")</f>
        <v>Nobuhle</v>
      </c>
      <c r="D27" s="166" t="str">
        <f>IFERROR(INDEX(Logs!$C$2:$C$500,MATCH('Beneficiaries (4)'!$B27,Logs!$A$2:$A$500,0)),"")</f>
        <v>Ngqola</v>
      </c>
      <c r="E27" s="167" t="str">
        <f>IFERROR(INDEX(Logs!$D$2:$D$500,MATCH('Beneficiaries (4)'!$B27,Logs!$A$2:$A$500,0)),"")</f>
        <v>6611010805081</v>
      </c>
      <c r="F27" s="168" t="s">
        <v>125</v>
      </c>
      <c r="G27" s="165" t="str">
        <f>TheGender(E27)</f>
        <v>F</v>
      </c>
      <c r="H27" s="165" t="s">
        <v>125</v>
      </c>
      <c r="I27" s="165" t="s">
        <v>126</v>
      </c>
      <c r="J27" s="165" t="str">
        <f>IFERROR(INDEX(Logs!$E$2:$E$500,MATCH('Beneficiaries (4)'!$B27,Logs!$A$2:$A$500,0)),"")</f>
        <v>15/05/0007</v>
      </c>
      <c r="K27" s="165" t="str">
        <f>IFERROR(INDEX(Logs!$F$2:$F$500,MATCH('Beneficiaries (4)'!$B27,Logs!$A$2:$A$500,0)),"")</f>
        <v>14/04/0037</v>
      </c>
      <c r="L27" s="165">
        <f>IFERROR(INDEX(Logs!$G$2:$G$500,MATCH('Beneficiaries (4)'!$B27,Logs!$A$2:$A$500,0)),0)</f>
        <v>16</v>
      </c>
      <c r="M27" s="165">
        <v>0</v>
      </c>
      <c r="N27" s="165">
        <f>L27+M27</f>
        <v>16</v>
      </c>
      <c r="O27" s="171">
        <f>IFERROR(INDEX(Logs!$H$2:$H$500,MATCH('Beneficiaries (4)'!$B27,Logs!$A$2:$A$500,0)),)</f>
        <v>204.16</v>
      </c>
      <c r="P27" s="172">
        <f>IFERROR(N27*O27,0)</f>
        <v>3266.56</v>
      </c>
      <c r="Q27" s="173"/>
    </row>
    <row r="28">
      <c r="A28" s="144" t="str">
        <f>ID_Valid(E28)</f>
        <v>INVALID ID - Check Digit</v>
      </c>
      <c r="B28" s="165">
        <v>79</v>
      </c>
      <c r="C28" s="170" t="str">
        <f>IFERROR(INDEX(Logs!$B$2:$B$500,MATCH('Beneficiaries (4)'!$B28,Logs!$A$2:$A$500,0)),"")</f>
        <v>Ncediswa</v>
      </c>
      <c r="D28" s="166" t="str">
        <f>IFERROR(INDEX(Logs!$C$2:$C$500,MATCH('Beneficiaries (4)'!$B28,Logs!$A$2:$A$500,0)),"")</f>
        <v>Ndudula</v>
      </c>
      <c r="E28" s="167" t="str">
        <f>IFERROR(INDEX(Logs!$D$2:$D$500,MATCH('Beneficiaries (4)'!$B28,Logs!$A$2:$A$500,0)),"")</f>
        <v>7812240608082</v>
      </c>
      <c r="F28" s="168" t="s">
        <v>125</v>
      </c>
      <c r="G28" s="165" t="str">
        <f>TheGender(E28)</f>
        <v>F</v>
      </c>
      <c r="H28" s="165" t="s">
        <v>125</v>
      </c>
      <c r="I28" s="165" t="s">
        <v>126</v>
      </c>
      <c r="J28" s="165" t="str">
        <f>IFERROR(INDEX(Logs!$E$2:$E$500,MATCH('Beneficiaries (4)'!$B28,Logs!$A$2:$A$500,0)),"")</f>
        <v>15/05/0007</v>
      </c>
      <c r="K28" s="165" t="str">
        <f>IFERROR(INDEX(Logs!$F$2:$F$500,MATCH('Beneficiaries (4)'!$B28,Logs!$A$2:$A$500,0)),"")</f>
        <v>14/04/0037</v>
      </c>
      <c r="L28" s="165">
        <f>IFERROR(INDEX(Logs!$G$2:$G$500,MATCH('Beneficiaries (4)'!$B28,Logs!$A$2:$A$500,0)),0)</f>
        <v>16</v>
      </c>
      <c r="M28" s="165">
        <v>0</v>
      </c>
      <c r="N28" s="165">
        <f>L28+M28</f>
        <v>16</v>
      </c>
      <c r="O28" s="171">
        <f>IFERROR(INDEX(Logs!$H$2:$H$500,MATCH('Beneficiaries (4)'!$B28,Logs!$A$2:$A$500,0)),)</f>
        <v>204.16</v>
      </c>
      <c r="P28" s="172">
        <f>IFERROR(N28*O28,0)</f>
        <v>3266.56</v>
      </c>
      <c r="Q28" s="173"/>
    </row>
    <row r="29">
      <c r="A29" s="144" t="str">
        <f>ID_Valid(E29)</f>
      </c>
      <c r="B29" s="165">
        <v>80</v>
      </c>
      <c r="C29" s="170" t="str">
        <f>IFERROR(INDEX(Logs!$B$2:$B$500,MATCH('Beneficiaries (4)'!$B29,Logs!$A$2:$A$500,0)),"")</f>
        <v>Noxolo</v>
      </c>
      <c r="D29" s="170" t="str">
        <f>IFERROR(INDEX(Logs!$C$2:$C$500,MATCH('Beneficiaries (4)'!$B29,Logs!$A$2:$A$500,0)),"")</f>
        <v>Joniga</v>
      </c>
      <c r="E29" s="167" t="str">
        <f>IFERROR(INDEX(Logs!$D$2:$D$500,MATCH('Beneficiaries (4)'!$B29,Logs!$A$2:$A$500,0)),"")</f>
        <v>7708310628087</v>
      </c>
      <c r="F29" s="168" t="s">
        <v>125</v>
      </c>
      <c r="G29" s="165" t="str">
        <f>TheGender(E29)</f>
        <v>F</v>
      </c>
      <c r="H29" s="165" t="s">
        <v>125</v>
      </c>
      <c r="I29" s="165" t="s">
        <v>126</v>
      </c>
      <c r="J29" s="165" t="str">
        <f>IFERROR(INDEX(Logs!$E$2:$E$500,MATCH('Beneficiaries (4)'!$B29,Logs!$A$2:$A$500,0)),"")</f>
        <v>15/05/0007</v>
      </c>
      <c r="K29" s="165" t="str">
        <f>IFERROR(INDEX(Logs!$F$2:$F$500,MATCH('Beneficiaries (4)'!$B29,Logs!$A$2:$A$500,0)),"")</f>
        <v>14/04/0037</v>
      </c>
      <c r="L29" s="165">
        <f>IFERROR(INDEX(Logs!$G$2:$G$500,MATCH('Beneficiaries (4)'!$B29,Logs!$A$2:$A$500,0)),0)</f>
        <v>16</v>
      </c>
      <c r="M29" s="165">
        <v>0</v>
      </c>
      <c r="N29" s="165">
        <f>L29+M29</f>
        <v>16</v>
      </c>
      <c r="O29" s="171">
        <f>IFERROR(INDEX(Logs!$H$2:$H$500,MATCH('Beneficiaries (4)'!$B29,Logs!$A$2:$A$500,0)),)</f>
        <v>204.16</v>
      </c>
      <c r="P29" s="172">
        <f>IFERROR(N29*O29,0)</f>
        <v>3266.56</v>
      </c>
      <c r="Q29" s="173"/>
    </row>
    <row r="30">
      <c r="A30" s="144" t="s"/>
      <c r="B30" s="175"/>
      <c r="C30" s="175"/>
      <c r="D30" s="175"/>
      <c r="E30" s="175"/>
      <c r="F30" s="175"/>
      <c r="G30" s="175"/>
      <c r="H30" s="175"/>
      <c r="I30" s="175"/>
      <c r="J30" s="175"/>
      <c r="K30" s="175"/>
      <c r="L30" s="176">
        <f>SUM(L10:L29)</f>
        <v>320</v>
      </c>
      <c r="M30" s="176">
        <f>SUM(M10:M29)</f>
        <v>0</v>
      </c>
      <c r="N30" s="176">
        <f>SUM(N10:N29)</f>
        <v>320</v>
      </c>
      <c r="O30" s="177">
        <f>SUM(O10:O29)</f>
        <v>4083.1999999999989</v>
      </c>
      <c r="P30" s="178">
        <f>SUM(P10:P29)</f>
        <v>65331.199999999983</v>
      </c>
      <c r="Q30" s="179"/>
    </row>
    <row r="31" ht="27" customHeight="true">
      <c r="A31" s="144" t="s"/>
      <c r="B31" s="180" t="s">
        <v>127</v>
      </c>
      <c r="C31" s="180"/>
      <c r="D31" s="181" t="s">
        <v>128</v>
      </c>
      <c r="E31" s="153" t="str">
        <f>Project!$G$30</f>
        <v>Benjamin Milandou-Loubeka</v>
      </c>
      <c r="F31" s="153"/>
      <c r="G31" s="153"/>
      <c r="H31" s="153" t="s">
        <v>129</v>
      </c>
      <c r="I31" s="157"/>
      <c r="J31" s="157"/>
      <c r="K31" s="157"/>
      <c r="L31" s="157"/>
      <c r="M31" s="157"/>
      <c r="N31" s="157"/>
      <c r="O31" s="157"/>
      <c r="P31" s="157"/>
      <c r="Q31" s="14"/>
    </row>
    <row r="32" ht="27" customHeight="true">
      <c r="A32" s="144" t="s"/>
      <c r="B32" s="180"/>
      <c r="C32" s="180"/>
      <c r="D32" s="181" t="s">
        <v>130</v>
      </c>
      <c r="E32" s="182">
        <f>Project!$AN$1</f>
        <v>45199</v>
      </c>
      <c r="F32" s="182"/>
      <c r="G32" s="182"/>
      <c r="H32" s="153"/>
      <c r="I32" s="157"/>
      <c r="J32" s="157"/>
      <c r="K32" s="157"/>
      <c r="L32" s="157"/>
      <c r="M32" s="157"/>
      <c r="N32" s="157"/>
      <c r="O32" s="157"/>
      <c r="P32" s="157"/>
      <c r="Q32" s="14"/>
    </row>
    <row r="33" ht="14.25" customHeight="true">
      <c r="A33" s="144" t="s"/>
      <c r="B33" s="158"/>
      <c r="C33" s="158"/>
      <c r="D33" s="183"/>
      <c r="E33" s="14"/>
      <c r="F33" s="14"/>
      <c r="G33" s="14"/>
      <c r="H33" s="148"/>
      <c r="I33" s="14"/>
      <c r="J33" s="14"/>
      <c r="K33" s="14"/>
      <c r="L33" s="14"/>
      <c r="M33" s="14"/>
      <c r="N33" s="14"/>
      <c r="O33" s="14"/>
      <c r="P33" s="14"/>
      <c r="Q33" s="14"/>
    </row>
    <row r="34" ht="27" customHeight="true">
      <c r="A34" s="144" t="s"/>
      <c r="B34" s="180" t="s">
        <v>131</v>
      </c>
      <c r="C34" s="180"/>
      <c r="D34" s="181" t="s">
        <v>128</v>
      </c>
      <c r="E34" s="157"/>
      <c r="F34" s="157"/>
      <c r="G34" s="157"/>
      <c r="H34" s="153" t="s">
        <v>129</v>
      </c>
      <c r="I34" s="157"/>
      <c r="J34" s="157"/>
      <c r="K34" s="157"/>
      <c r="L34" s="157"/>
      <c r="M34" s="157"/>
      <c r="N34" s="157"/>
      <c r="O34" s="157"/>
      <c r="P34" s="157"/>
      <c r="Q34" s="14"/>
    </row>
    <row r="35" ht="27" customHeight="true">
      <c r="A35" s="144" t="s"/>
      <c r="B35" s="180"/>
      <c r="C35" s="180"/>
      <c r="D35" s="181" t="s">
        <v>130</v>
      </c>
      <c r="E35" s="157"/>
      <c r="F35" s="157"/>
      <c r="G35" s="157"/>
      <c r="H35" s="153"/>
      <c r="I35" s="157"/>
      <c r="J35" s="157"/>
      <c r="K35" s="157"/>
      <c r="L35" s="157"/>
      <c r="M35" s="157"/>
      <c r="N35" s="157"/>
      <c r="O35" s="157"/>
      <c r="P35" s="157"/>
      <c r="Q35" s="14"/>
    </row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>
      <c r="A74" s="144" t="s"/>
      <c r="B74" s="14"/>
    </row>
  </sheetData>
  <dataValidations count="1">
    <dataValidation allowBlank="true" showInputMessage="true" showErrorMessage="true" promptTitle="Month" type="" sqref="I6">
      <formula1/>
    </dataValidation>
  </dataValidations>
  <mergeCells count="14">
    <mergeCell ref="B3:P3"/>
    <mergeCell ref="B5:C6"/>
    <mergeCell ref="D5:E6"/>
    <mergeCell ref="K5:M5"/>
    <mergeCell ref="B31:C32"/>
    <mergeCell ref="E31:G31"/>
    <mergeCell ref="H31:H32"/>
    <mergeCell ref="I31:P32"/>
    <mergeCell ref="E32:G32"/>
    <mergeCell ref="B34:C35"/>
    <mergeCell ref="E34:G34"/>
    <mergeCell ref="H34:H35"/>
    <mergeCell ref="I34:P35"/>
    <mergeCell ref="E35:G35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6.xml><?xml version="1.0" encoding="utf-8"?>
<worksheet xmlns="http://schemas.openxmlformats.org/spreadsheetml/2006/main">
  <sheetPr filterMode="false">
    <pageSetUpPr fitToPage="false"/>
  </sheetPr>
  <dimension ref="A1:R74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85546875" defaultRowHeight="12.75"/>
  <cols>
    <col collapsed="false" hidden="false" max="1" min="1" style="144" width="20.7109375" customWidth="true"/>
    <col collapsed="false" hidden="false" max="2" min="2" style="1" width="4.42578125" customWidth="true"/>
    <col collapsed="false" hidden="false" max="5" min="3" style="1" width="24.42578125" customWidth="true"/>
    <col collapsed="false" hidden="false" max="5" min="3" style="1" width="24.42578125" customWidth="true"/>
    <col collapsed="false" hidden="false" max="5" min="3" style="1" width="24.42578125" customWidth="true"/>
    <col collapsed="false" hidden="false" max="6" min="6" style="1" width="10.140625" customWidth="true"/>
    <col collapsed="false" hidden="false" max="9" min="7" style="1" width="8.85546875" customWidth="true"/>
    <col collapsed="false" hidden="false" max="9" min="7" style="1" width="8.85546875" customWidth="true"/>
    <col collapsed="false" hidden="false" max="9" min="7" style="1" width="8.85546875" customWidth="true"/>
    <col collapsed="false" hidden="false" max="11" min="10" style="1" width="10.140625" customWidth="true"/>
    <col collapsed="false" hidden="false" max="11" min="10" style="1" width="10.14062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7" min="16" style="1" width="14.5703125" customWidth="true"/>
    <col collapsed="false" hidden="false" max="17" min="16" style="1" width="14.5703125" customWidth="true"/>
    <col collapsed="false" hidden="false" max="18" min="18" style="145" width="8.85546875" customWidth="true"/>
  </cols>
  <sheetData>
    <row r="1">
      <c r="A1" s="144" t="s"/>
      <c r="B1" s="146" t="s">
        <v>96</v>
      </c>
      <c r="C1" s="2"/>
      <c r="D1" s="2"/>
      <c r="E1" s="147" t="s">
        <v>2</v>
      </c>
      <c r="F1" s="1" t="s"/>
      <c r="G1" s="2"/>
      <c r="H1" s="2"/>
      <c r="I1" s="2"/>
      <c r="J1" s="1" t="s"/>
      <c r="K1" s="1" t="s"/>
      <c r="L1" s="1" t="s"/>
      <c r="M1" s="1" t="s"/>
      <c r="N1" s="1" t="s"/>
      <c r="O1" s="1" t="s"/>
      <c r="P1" s="1" t="s"/>
      <c r="Q1" s="1" t="s"/>
      <c r="R1" s="11">
        <f>IF(Beneficiaries!$P$30&gt;0,1,"")</f>
        <v>1</v>
      </c>
    </row>
    <row r="2">
      <c r="A2" s="144" t="s"/>
      <c r="B2" s="1" t="s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11">
        <f>IF('Beneficiaries (2)'!$P$30&gt;0,1,"")</f>
        <v>1</v>
      </c>
    </row>
    <row r="3">
      <c r="A3" s="144" t="s"/>
      <c r="B3" s="148" t="s">
        <v>97</v>
      </c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1">
        <f>IF('Beneficiaries (3)'!$P$30&gt;0,1,"")</f>
        <v>1</v>
      </c>
    </row>
    <row r="4">
      <c r="A4" s="144" t="s"/>
      <c r="B4" s="1" t="s"/>
      <c r="C4" s="146"/>
      <c r="D4" s="146"/>
      <c r="E4" s="146"/>
      <c r="F4" s="146"/>
      <c r="G4" s="146"/>
      <c r="H4" s="1" t="s"/>
      <c r="I4" s="1" t="s"/>
      <c r="J4" s="1" t="s"/>
      <c r="K4" s="1" t="s"/>
      <c r="L4" s="1" t="s"/>
      <c r="M4" s="1" t="s"/>
      <c r="N4" s="1" t="s"/>
      <c r="O4" s="1" t="s"/>
      <c r="P4" s="1" t="s"/>
      <c r="Q4" s="1" t="s"/>
      <c r="R4" s="11">
        <f>IF('Beneficiaries (4)'!$P$30&gt;0,1,"")</f>
        <v>1</v>
      </c>
    </row>
    <row r="5" ht="12.75" customHeight="true">
      <c r="A5" s="144" t="s"/>
      <c r="B5" s="149" t="s">
        <v>98</v>
      </c>
      <c r="C5" s="150"/>
      <c r="D5" s="151" t="str">
        <f>Project!$Z$25</f>
        <v>WSDS/24/111i</v>
      </c>
      <c r="E5" s="151"/>
      <c r="F5" s="152"/>
      <c r="G5" s="1" t="s"/>
      <c r="H5" s="153" t="s">
        <v>99</v>
      </c>
      <c r="I5" s="153" t="s">
        <v>100</v>
      </c>
      <c r="J5" s="146"/>
      <c r="K5" s="154" t="s">
        <v>101</v>
      </c>
      <c r="L5" s="154"/>
      <c r="M5" s="154"/>
      <c r="N5" s="39"/>
      <c r="O5" s="39"/>
      <c r="P5" s="146"/>
      <c r="Q5" s="146"/>
      <c r="R5" s="11">
        <f>IF('Beneficiaries (5)'!$P$30&gt;0,1,"")</f>
        <v>1</v>
      </c>
    </row>
    <row r="6">
      <c r="A6" s="144" t="s"/>
      <c r="B6" s="155"/>
      <c r="C6" s="156"/>
      <c r="D6" s="151"/>
      <c r="E6" s="151"/>
      <c r="F6" s="152"/>
      <c r="G6" s="1" t="s"/>
      <c r="H6" s="109" t="str">
        <f>TEXT(Project!$AN$1,"YYYY")</f>
        <v>2023</v>
      </c>
      <c r="I6" s="109" t="str">
        <f>TEXT(Project!$AN$1,"MMMM")</f>
        <v>September</v>
      </c>
      <c r="J6" s="7"/>
      <c r="K6" s="157">
        <v>1</v>
      </c>
      <c r="L6" s="154" t="s">
        <v>102</v>
      </c>
      <c r="M6" s="154">
        <f>IF(K6&gt;0,COUNT(R1:R20),"")</f>
        <v>14</v>
      </c>
      <c r="N6" s="39"/>
      <c r="O6" s="39"/>
      <c r="P6" s="14"/>
      <c r="Q6" s="14"/>
      <c r="R6" s="11">
        <f>IF('Beneficiaries (6)'!$P$30&gt;0,1,"")</f>
        <v>1</v>
      </c>
    </row>
    <row r="7">
      <c r="A7" s="144" t="s"/>
      <c r="B7" s="158"/>
      <c r="C7" s="158"/>
      <c r="D7" s="158"/>
      <c r="E7" s="14"/>
      <c r="F7" s="14"/>
      <c r="G7" s="1" t="s"/>
      <c r="H7" s="7"/>
      <c r="I7" s="7"/>
      <c r="J7" s="7"/>
      <c r="K7" s="14"/>
      <c r="L7" s="39"/>
      <c r="M7" s="39"/>
      <c r="N7" s="39"/>
      <c r="O7" s="39"/>
      <c r="P7" s="14"/>
      <c r="Q7" s="14"/>
      <c r="R7" s="11">
        <f>IF('Beneficiaries (7)'!$P$30&gt;0,1,"")</f>
        <v>1</v>
      </c>
    </row>
    <row r="8">
      <c r="A8" s="144" t="s"/>
      <c r="B8" s="159"/>
      <c r="C8" s="160" t="s">
        <v>103</v>
      </c>
      <c r="D8" s="160" t="s">
        <v>103</v>
      </c>
      <c r="E8" s="160" t="s">
        <v>103</v>
      </c>
      <c r="F8" s="160" t="s">
        <v>104</v>
      </c>
      <c r="G8" s="159"/>
      <c r="H8" s="159"/>
      <c r="I8" s="160" t="s">
        <v>105</v>
      </c>
      <c r="J8" s="159"/>
      <c r="K8" s="160" t="s">
        <v>106</v>
      </c>
      <c r="L8" s="160" t="s">
        <v>107</v>
      </c>
      <c r="M8" s="160" t="s">
        <v>108</v>
      </c>
      <c r="N8" s="160"/>
      <c r="O8" s="160" t="s">
        <v>109</v>
      </c>
      <c r="P8" s="160"/>
      <c r="Q8" s="161"/>
      <c r="R8" s="11">
        <f>IF('Beneficiaries (8)'!$P$30&gt;0,1,"")</f>
        <v>1</v>
      </c>
    </row>
    <row r="9">
      <c r="A9" s="144" t="s"/>
      <c r="B9" s="162" t="s">
        <v>110</v>
      </c>
      <c r="C9" s="162" t="s">
        <v>111</v>
      </c>
      <c r="D9" s="162" t="s">
        <v>112</v>
      </c>
      <c r="E9" s="162" t="s">
        <v>113</v>
      </c>
      <c r="F9" s="163" t="s">
        <v>114</v>
      </c>
      <c r="G9" s="163" t="s">
        <v>115</v>
      </c>
      <c r="H9" s="163" t="s">
        <v>116</v>
      </c>
      <c r="I9" s="163" t="s">
        <v>117</v>
      </c>
      <c r="J9" s="163" t="s">
        <v>118</v>
      </c>
      <c r="K9" s="163" t="s">
        <v>119</v>
      </c>
      <c r="L9" s="163" t="s">
        <v>120</v>
      </c>
      <c r="M9" s="163" t="s">
        <v>121</v>
      </c>
      <c r="N9" s="163" t="s">
        <v>122</v>
      </c>
      <c r="O9" s="163" t="s">
        <v>123</v>
      </c>
      <c r="P9" s="163" t="s">
        <v>124</v>
      </c>
      <c r="Q9" s="164"/>
      <c r="R9" s="11">
        <f>IF('Beneficiaries (9)'!$P$30&gt;0,1,"")</f>
        <v>1</v>
      </c>
    </row>
    <row r="10">
      <c r="A10" s="144" t="str">
        <f>ID_Valid(E10)</f>
      </c>
      <c r="B10" s="165">
        <v>81</v>
      </c>
      <c r="C10" s="166" t="str">
        <f>IFERROR(INDEX(Logs!$B$2:$B$500,MATCH('Beneficiaries (5)'!$B10,Logs!$A$2:$A$500,0)),"")</f>
        <v>Patricia</v>
      </c>
      <c r="D10" s="166" t="str">
        <f>IFERROR(INDEX(Logs!$C$2:$C$500,MATCH('Beneficiaries (5)'!$B10,Logs!$A$2:$A$500,0)),"")</f>
        <v>Boniswa</v>
      </c>
      <c r="E10" s="167" t="str">
        <f>IFERROR(INDEX(Logs!$D$2:$D$500,MATCH('Beneficiaries (5)'!$B10,Logs!$A$2:$A$500,0)),"")</f>
        <v>8104140378086</v>
      </c>
      <c r="F10" s="168" t="s">
        <v>125</v>
      </c>
      <c r="G10" s="165" t="str">
        <f>TheGender(E10)</f>
        <v>F</v>
      </c>
      <c r="H10" s="165" t="s">
        <v>125</v>
      </c>
      <c r="I10" s="169" t="s">
        <v>126</v>
      </c>
      <c r="J10" s="170" t="str">
        <f>IFERROR(INDEX(Logs!$E$2:$E$500,MATCH('Beneficiaries (5)'!$B10,Logs!$A$2:$A$500,0)),"")</f>
        <v>15/05/0007</v>
      </c>
      <c r="K10" s="170" t="str">
        <f>IFERROR(INDEX(Logs!$F$2:$F$500,MATCH('Beneficiaries (5)'!$B10,Logs!$A$2:$A$500,0)),"")</f>
        <v>14/04/0037</v>
      </c>
      <c r="L10" s="165">
        <f>IFERROR(INDEX(Logs!$G$2:$G$500,MATCH('Beneficiaries (5)'!$B10,Logs!$A$2:$A$500,0)),0)</f>
        <v>16</v>
      </c>
      <c r="M10" s="165">
        <v>0</v>
      </c>
      <c r="N10" s="165">
        <f>M10+L10</f>
        <v>16</v>
      </c>
      <c r="O10" s="171">
        <f>IFERROR(INDEX(Logs!$H$2:$H$500,MATCH('Beneficiaries (5)'!$B10,Logs!$A$2:$A$500,0)),)</f>
        <v>204.16</v>
      </c>
      <c r="P10" s="172">
        <f>IFERROR(N10*O10,0)</f>
        <v>3266.56</v>
      </c>
      <c r="Q10" s="173"/>
      <c r="R10" s="11">
        <f>IF('Beneficiaries (10)'!$P$30&gt;0,1,"")</f>
        <v>1</v>
      </c>
    </row>
    <row r="11">
      <c r="A11" s="144" t="str">
        <f>ID_Valid(E11)</f>
      </c>
      <c r="B11" s="165">
        <v>82</v>
      </c>
      <c r="C11" s="166" t="str">
        <f>IFERROR(INDEX(Logs!$B$2:$B$500,MATCH('Beneficiaries (5)'!$B11,Logs!$A$2:$A$500,0)),"")</f>
        <v>Noluthando</v>
      </c>
      <c r="D11" s="166" t="str">
        <f>IFERROR(INDEX(Logs!$C$2:$C$500,MATCH('Beneficiaries (5)'!$B11,Logs!$A$2:$A$500,0)),"")</f>
        <v>Xakuvana</v>
      </c>
      <c r="E11" s="167" t="str">
        <f>IFERROR(INDEX(Logs!$D$2:$D$500,MATCH('Beneficiaries (5)'!$B11,Logs!$A$2:$A$500,0)),"")</f>
        <v>7510070545083</v>
      </c>
      <c r="F11" s="168" t="s">
        <v>125</v>
      </c>
      <c r="G11" s="165" t="str">
        <f>TheGender(E11)</f>
        <v>F</v>
      </c>
      <c r="H11" s="165" t="s">
        <v>125</v>
      </c>
      <c r="I11" s="165" t="s">
        <v>126</v>
      </c>
      <c r="J11" s="165" t="str">
        <f>IFERROR(INDEX(Logs!$E$2:$E$500,MATCH('Beneficiaries (5)'!$B11,Logs!$A$2:$A$500,0)),"")</f>
        <v>15/05/0007</v>
      </c>
      <c r="K11" s="165" t="str">
        <f>IFERROR(INDEX(Logs!$F$2:$F$500,MATCH('Beneficiaries (5)'!$B11,Logs!$A$2:$A$500,0)),"")</f>
        <v>14/04/0037</v>
      </c>
      <c r="L11" s="165">
        <f>IFERROR(INDEX(Logs!$G$2:$G$500,MATCH('Beneficiaries (5)'!$B11,Logs!$A$2:$A$500,0)),0)</f>
        <v>16</v>
      </c>
      <c r="M11" s="165">
        <v>0</v>
      </c>
      <c r="N11" s="165">
        <f>L11+M11</f>
        <v>16</v>
      </c>
      <c r="O11" s="171">
        <f>IFERROR(INDEX(Logs!$H$2:$H$500,MATCH('Beneficiaries (5)'!$B11,Logs!$A$2:$A$500,0)),)</f>
        <v>204.16</v>
      </c>
      <c r="P11" s="172">
        <f>IFERROR(N11*O11,0)</f>
        <v>3266.56</v>
      </c>
      <c r="Q11" s="173"/>
      <c r="R11" s="11">
        <f>IF('Beneficiaries (11)'!$P$30&gt;0,1,"")</f>
        <v>1</v>
      </c>
    </row>
    <row r="12">
      <c r="A12" s="144" t="str">
        <f>ID_Valid(E12)</f>
      </c>
      <c r="B12" s="165">
        <v>83</v>
      </c>
      <c r="C12" s="166" t="str">
        <f>IFERROR(INDEX(Logs!$B$2:$B$500,MATCH('Beneficiaries (5)'!$B12,Logs!$A$2:$A$500,0)),"")</f>
        <v>Nomfusi</v>
      </c>
      <c r="D12" s="166" t="str">
        <f>IFERROR(INDEX(Logs!$C$2:$C$500,MATCH('Beneficiaries (5)'!$B12,Logs!$A$2:$A$500,0)),"")</f>
        <v>Mandla</v>
      </c>
      <c r="E12" s="167" t="str">
        <f>IFERROR(INDEX(Logs!$D$2:$D$500,MATCH('Beneficiaries (5)'!$B12,Logs!$A$2:$A$500,0)),"")</f>
        <v>8708141181081</v>
      </c>
      <c r="F12" s="168" t="s">
        <v>125</v>
      </c>
      <c r="G12" s="165" t="str">
        <f>TheGender(E12)</f>
        <v>F</v>
      </c>
      <c r="H12" s="165" t="s">
        <v>125</v>
      </c>
      <c r="I12" s="165" t="s">
        <v>126</v>
      </c>
      <c r="J12" s="165" t="str">
        <f>IFERROR(INDEX(Logs!$E$2:$E$500,MATCH('Beneficiaries (5)'!$B12,Logs!$A$2:$A$500,0)),"")</f>
        <v>15/05/0007</v>
      </c>
      <c r="K12" s="165" t="str">
        <f>IFERROR(INDEX(Logs!$F$2:$F$500,MATCH('Beneficiaries (5)'!$B12,Logs!$A$2:$A$500,0)),"")</f>
        <v>14/04/0037</v>
      </c>
      <c r="L12" s="165">
        <f>IFERROR(INDEX(Logs!$G$2:$G$500,MATCH('Beneficiaries (5)'!$B12,Logs!$A$2:$A$500,0)),0)</f>
        <v>16</v>
      </c>
      <c r="M12" s="165">
        <v>0</v>
      </c>
      <c r="N12" s="165">
        <f>L12+M12</f>
        <v>16</v>
      </c>
      <c r="O12" s="171">
        <f>IFERROR(INDEX(Logs!$H$2:$H$500,MATCH('Beneficiaries (5)'!$B12,Logs!$A$2:$A$500,0)),)</f>
        <v>204.16</v>
      </c>
      <c r="P12" s="172">
        <f>IFERROR(N12*O12,0)</f>
        <v>3266.56</v>
      </c>
      <c r="Q12" s="173"/>
      <c r="R12" s="11">
        <f>IF('Beneficiaries (12)'!$P$30&gt;0,1,"")</f>
        <v>1</v>
      </c>
    </row>
    <row r="13">
      <c r="A13" s="144" t="str">
        <f>ID_Valid(E13)</f>
      </c>
      <c r="B13" s="165">
        <v>84</v>
      </c>
      <c r="C13" s="166" t="str">
        <f>IFERROR(INDEX(Logs!$B$2:$B$500,MATCH('Beneficiaries (5)'!$B13,Logs!$A$2:$A$500,0)),"")</f>
        <v>Marianne</v>
      </c>
      <c r="D13" s="166" t="str">
        <f>IFERROR(INDEX(Logs!$C$2:$C$500,MATCH('Beneficiaries (5)'!$B13,Logs!$A$2:$A$500,0)),"")</f>
        <v>Jakobs</v>
      </c>
      <c r="E13" s="167" t="str">
        <f>IFERROR(INDEX(Logs!$D$2:$D$500,MATCH('Beneficiaries (5)'!$B13,Logs!$A$2:$A$500,0)),"")</f>
        <v>8712010125088</v>
      </c>
      <c r="F13" s="168" t="s">
        <v>125</v>
      </c>
      <c r="G13" s="165" t="str">
        <f>TheGender(E13)</f>
        <v>F</v>
      </c>
      <c r="H13" s="165" t="s">
        <v>125</v>
      </c>
      <c r="I13" s="165" t="s">
        <v>126</v>
      </c>
      <c r="J13" s="165" t="str">
        <f>IFERROR(INDEX(Logs!$E$2:$E$500,MATCH('Beneficiaries (5)'!$B13,Logs!$A$2:$A$500,0)),"")</f>
        <v>15/05/0007</v>
      </c>
      <c r="K13" s="165" t="str">
        <f>IFERROR(INDEX(Logs!$F$2:$F$500,MATCH('Beneficiaries (5)'!$B13,Logs!$A$2:$A$500,0)),"")</f>
        <v>14/04/0037</v>
      </c>
      <c r="L13" s="165">
        <f>IFERROR(INDEX(Logs!$G$2:$G$500,MATCH('Beneficiaries (5)'!$B13,Logs!$A$2:$A$500,0)),0)</f>
        <v>22</v>
      </c>
      <c r="M13" s="165">
        <v>0</v>
      </c>
      <c r="N13" s="165">
        <f>L13+M13</f>
        <v>22</v>
      </c>
      <c r="O13" s="171">
        <f>IFERROR(INDEX(Logs!$H$2:$H$500,MATCH('Beneficiaries (5)'!$B13,Logs!$A$2:$A$500,0)),)</f>
        <v>204.16</v>
      </c>
      <c r="P13" s="172">
        <f>IFERROR(N13*O13,0)</f>
        <v>4491.5199999999995</v>
      </c>
      <c r="Q13" s="173"/>
      <c r="R13" s="11">
        <f>IF('Beneficiaries (13)'!$P$30&gt;0,1,"")</f>
        <v>1</v>
      </c>
    </row>
    <row r="14">
      <c r="A14" s="144" t="str">
        <f>ID_Valid(E14)</f>
      </c>
      <c r="B14" s="165">
        <v>85</v>
      </c>
      <c r="C14" s="166" t="str">
        <f>IFERROR(INDEX(Logs!$B$2:$B$500,MATCH('Beneficiaries (5)'!$B14,Logs!$A$2:$A$500,0)),"")</f>
        <v>Nompucuko</v>
      </c>
      <c r="D14" s="166" t="str">
        <f>IFERROR(INDEX(Logs!$C$2:$C$500,MATCH('Beneficiaries (5)'!$B14,Logs!$A$2:$A$500,0)),"")</f>
        <v>Mbango</v>
      </c>
      <c r="E14" s="167" t="str">
        <f>IFERROR(INDEX(Logs!$D$2:$D$500,MATCH('Beneficiaries (5)'!$B14,Logs!$A$2:$A$500,0)),"")</f>
        <v>7812060928083</v>
      </c>
      <c r="F14" s="168" t="s">
        <v>125</v>
      </c>
      <c r="G14" s="165" t="str">
        <f>TheGender(E14)</f>
        <v>F</v>
      </c>
      <c r="H14" s="165" t="s">
        <v>125</v>
      </c>
      <c r="I14" s="165" t="s">
        <v>126</v>
      </c>
      <c r="J14" s="165" t="str">
        <f>IFERROR(INDEX(Logs!$E$2:$E$500,MATCH('Beneficiaries (5)'!$B14,Logs!$A$2:$A$500,0)),"")</f>
        <v>15/05/0007</v>
      </c>
      <c r="K14" s="165" t="str">
        <f>IFERROR(INDEX(Logs!$F$2:$F$500,MATCH('Beneficiaries (5)'!$B14,Logs!$A$2:$A$500,0)),"")</f>
        <v>14/04/0037</v>
      </c>
      <c r="L14" s="165">
        <f>IFERROR(INDEX(Logs!$G$2:$G$500,MATCH('Beneficiaries (5)'!$B14,Logs!$A$2:$A$500,0)),0)</f>
        <v>22</v>
      </c>
      <c r="M14" s="165">
        <v>0</v>
      </c>
      <c r="N14" s="165">
        <f>L14+M14</f>
        <v>22</v>
      </c>
      <c r="O14" s="171">
        <f>IFERROR(INDEX(Logs!$H$2:$H$500,MATCH('Beneficiaries (5)'!$B14,Logs!$A$2:$A$500,0)),)</f>
        <v>204.16</v>
      </c>
      <c r="P14" s="172">
        <f>IFERROR(N14*O14,0)</f>
        <v>4491.5199999999995</v>
      </c>
      <c r="Q14" s="173"/>
      <c r="R14" s="11">
        <f>IF('Beneficiaries (14)'!$P$30&gt;0,1,"")</f>
        <v>1</v>
      </c>
    </row>
    <row r="15">
      <c r="A15" s="144" t="str">
        <f>ID_Valid(E15)</f>
      </c>
      <c r="B15" s="165">
        <v>86</v>
      </c>
      <c r="C15" s="166" t="str">
        <f>IFERROR(INDEX(Logs!$B$2:$B$500,MATCH('Beneficiaries (5)'!$B15,Logs!$A$2:$A$500,0)),"")</f>
        <v>Theresa</v>
      </c>
      <c r="D15" s="166" t="str">
        <f>IFERROR(INDEX(Logs!$C$2:$C$500,MATCH('Beneficiaries (5)'!$B15,Logs!$A$2:$A$500,0)),"")</f>
        <v>Pietersen</v>
      </c>
      <c r="E15" s="167" t="str">
        <f>IFERROR(INDEX(Logs!$D$2:$D$500,MATCH('Beneficiaries (5)'!$B15,Logs!$A$2:$A$500,0)),"")</f>
        <v>8709260437080</v>
      </c>
      <c r="F15" s="168" t="s">
        <v>125</v>
      </c>
      <c r="G15" s="165" t="str">
        <f>TheGender(E15)</f>
        <v>F</v>
      </c>
      <c r="H15" s="165" t="s">
        <v>125</v>
      </c>
      <c r="I15" s="165" t="s">
        <v>126</v>
      </c>
      <c r="J15" s="165" t="str">
        <f>IFERROR(INDEX(Logs!$E$2:$E$500,MATCH('Beneficiaries (5)'!$B15,Logs!$A$2:$A$500,0)),"")</f>
        <v>15/05/0007</v>
      </c>
      <c r="K15" s="165" t="str">
        <f>IFERROR(INDEX(Logs!$F$2:$F$500,MATCH('Beneficiaries (5)'!$B15,Logs!$A$2:$A$500,0)),"")</f>
        <v>14/04/0037</v>
      </c>
      <c r="L15" s="165">
        <f>IFERROR(INDEX(Logs!$G$2:$G$500,MATCH('Beneficiaries (5)'!$B15,Logs!$A$2:$A$500,0)),0)</f>
        <v>22</v>
      </c>
      <c r="M15" s="165">
        <v>0</v>
      </c>
      <c r="N15" s="165">
        <f>L15+M15</f>
        <v>22</v>
      </c>
      <c r="O15" s="171">
        <f>IFERROR(INDEX(Logs!$H$2:$H$500,MATCH('Beneficiaries (5)'!$B15,Logs!$A$2:$A$500,0)),)</f>
        <v>204.16</v>
      </c>
      <c r="P15" s="172">
        <f>IFERROR(N15*O15,0)</f>
        <v>4491.5199999999995</v>
      </c>
      <c r="Q15" s="173"/>
      <c r="R15" s="11"/>
    </row>
    <row r="16">
      <c r="A16" s="144" t="str">
        <f>ID_Valid(E16)</f>
      </c>
      <c r="B16" s="165">
        <v>87</v>
      </c>
      <c r="C16" s="166" t="str">
        <f>IFERROR(INDEX(Logs!$B$2:$B$500,MATCH('Beneficiaries (5)'!$B16,Logs!$A$2:$A$500,0)),"")</f>
        <v>Nokulunga</v>
      </c>
      <c r="D16" s="166" t="str">
        <f>IFERROR(INDEX(Logs!$C$2:$C$500,MATCH('Beneficiaries (5)'!$B16,Logs!$A$2:$A$500,0)),"")</f>
        <v>Madanda</v>
      </c>
      <c r="E16" s="167" t="str">
        <f>IFERROR(INDEX(Logs!$D$2:$D$500,MATCH('Beneficiaries (5)'!$B16,Logs!$A$2:$A$500,0)),"")</f>
        <v>8901231034084</v>
      </c>
      <c r="F16" s="168" t="s">
        <v>125</v>
      </c>
      <c r="G16" s="165" t="str">
        <f>TheGender(E16)</f>
        <v>F</v>
      </c>
      <c r="H16" s="165" t="s">
        <v>125</v>
      </c>
      <c r="I16" s="165" t="s">
        <v>126</v>
      </c>
      <c r="J16" s="165" t="str">
        <f>IFERROR(INDEX(Logs!$E$2:$E$500,MATCH('Beneficiaries (5)'!$B16,Logs!$A$2:$A$500,0)),"")</f>
        <v>15/05/0007</v>
      </c>
      <c r="K16" s="165" t="str">
        <f>IFERROR(INDEX(Logs!$F$2:$F$500,MATCH('Beneficiaries (5)'!$B16,Logs!$A$2:$A$500,0)),"")</f>
        <v>14/04/0037</v>
      </c>
      <c r="L16" s="165">
        <f>IFERROR(INDEX(Logs!$G$2:$G$500,MATCH('Beneficiaries (5)'!$B16,Logs!$A$2:$A$500,0)),0)</f>
        <v>17</v>
      </c>
      <c r="M16" s="165">
        <v>0</v>
      </c>
      <c r="N16" s="165">
        <f>L16+M16</f>
        <v>17</v>
      </c>
      <c r="O16" s="171">
        <f>IFERROR(INDEX(Logs!$H$2:$H$500,MATCH('Beneficiaries (5)'!$B16,Logs!$A$2:$A$500,0)),)</f>
        <v>204.16</v>
      </c>
      <c r="P16" s="172">
        <f>IFERROR(N16*O16,0)</f>
        <v>3470.72</v>
      </c>
      <c r="Q16" s="173"/>
      <c r="R16" s="11"/>
    </row>
    <row r="17">
      <c r="A17" s="144" t="str">
        <f>ID_Valid(E17)</f>
      </c>
      <c r="B17" s="165">
        <v>88</v>
      </c>
      <c r="C17" s="166" t="str">
        <f>IFERROR(INDEX(Logs!$B$2:$B$500,MATCH('Beneficiaries (5)'!$B17,Logs!$A$2:$A$500,0)),"")</f>
        <v>Kholiswa</v>
      </c>
      <c r="D17" s="166" t="str">
        <f>IFERROR(INDEX(Logs!$C$2:$C$500,MATCH('Beneficiaries (5)'!$B17,Logs!$A$2:$A$500,0)),"")</f>
        <v>Tsotsa</v>
      </c>
      <c r="E17" s="167" t="str">
        <f>IFERROR(INDEX(Logs!$D$2:$D$500,MATCH('Beneficiaries (5)'!$B17,Logs!$A$2:$A$500,0)),"")</f>
        <v>7206150957088</v>
      </c>
      <c r="F17" s="168" t="s">
        <v>125</v>
      </c>
      <c r="G17" s="165" t="str">
        <f>TheGender(E17)</f>
        <v>F</v>
      </c>
      <c r="H17" s="165" t="s">
        <v>125</v>
      </c>
      <c r="I17" s="165" t="s">
        <v>126</v>
      </c>
      <c r="J17" s="165" t="str">
        <f>IFERROR(INDEX(Logs!$E$2:$E$500,MATCH('Beneficiaries (5)'!$B17,Logs!$A$2:$A$500,0)),"")</f>
        <v>14/05/0009</v>
      </c>
      <c r="K17" s="165" t="str">
        <f>IFERROR(INDEX(Logs!$F$2:$F$500,MATCH('Beneficiaries (5)'!$B17,Logs!$A$2:$A$500,0)),"")</f>
        <v>15/05/0036</v>
      </c>
      <c r="L17" s="165">
        <f>IFERROR(INDEX(Logs!$G$2:$G$500,MATCH('Beneficiaries (5)'!$B17,Logs!$A$2:$A$500,0)),0)</f>
        <v>22</v>
      </c>
      <c r="M17" s="165">
        <v>0</v>
      </c>
      <c r="N17" s="165">
        <f>L17+M17</f>
        <v>22</v>
      </c>
      <c r="O17" s="171">
        <f>IFERROR(INDEX(Logs!$H$2:$H$500,MATCH('Beneficiaries (5)'!$B17,Logs!$A$2:$A$500,0)),)</f>
        <v>204.16</v>
      </c>
      <c r="P17" s="172">
        <f>IFERROR(N17*O17,0)</f>
        <v>4491.5199999999995</v>
      </c>
      <c r="Q17" s="173"/>
    </row>
    <row r="18">
      <c r="A18" s="144" t="str">
        <f>ID_Valid(E18)</f>
      </c>
      <c r="B18" s="165">
        <v>89</v>
      </c>
      <c r="C18" s="166" t="str">
        <f>IFERROR(INDEX(Logs!$B$2:$B$500,MATCH('Beneficiaries (5)'!$B18,Logs!$A$2:$A$500,0)),"")</f>
        <v>Xolelwa</v>
      </c>
      <c r="D18" s="166" t="str">
        <f>IFERROR(INDEX(Logs!$C$2:$C$500,MATCH('Beneficiaries (5)'!$B18,Logs!$A$2:$A$500,0)),"")</f>
        <v>Khambi</v>
      </c>
      <c r="E18" s="167" t="str">
        <f>IFERROR(INDEX(Logs!$D$2:$D$500,MATCH('Beneficiaries (5)'!$B18,Logs!$A$2:$A$500,0)),"")</f>
        <v>7309170760084</v>
      </c>
      <c r="F18" s="168" t="s">
        <v>125</v>
      </c>
      <c r="G18" s="165" t="str">
        <f>TheGender(E18)</f>
        <v>F</v>
      </c>
      <c r="H18" s="165" t="s">
        <v>125</v>
      </c>
      <c r="I18" s="165" t="s">
        <v>126</v>
      </c>
      <c r="J18" s="165" t="str">
        <f>IFERROR(INDEX(Logs!$E$2:$E$500,MATCH('Beneficiaries (5)'!$B18,Logs!$A$2:$A$500,0)),"")</f>
        <v>14/05/0009</v>
      </c>
      <c r="K18" s="165" t="str">
        <f>IFERROR(INDEX(Logs!$F$2:$F$500,MATCH('Beneficiaries (5)'!$B18,Logs!$A$2:$A$500,0)),"")</f>
        <v>15/05/0036</v>
      </c>
      <c r="L18" s="165">
        <f>IFERROR(INDEX(Logs!$G$2:$G$500,MATCH('Beneficiaries (5)'!$B18,Logs!$A$2:$A$500,0)),0)</f>
        <v>22</v>
      </c>
      <c r="M18" s="165">
        <v>0</v>
      </c>
      <c r="N18" s="165">
        <f>L18+M18</f>
        <v>22</v>
      </c>
      <c r="O18" s="171">
        <f>IFERROR(INDEX(Logs!$H$2:$H$500,MATCH('Beneficiaries (5)'!$B18,Logs!$A$2:$A$500,0)),)</f>
        <v>204.16</v>
      </c>
      <c r="P18" s="172">
        <f>IFERROR(N18*O18,0)</f>
        <v>4491.5199999999995</v>
      </c>
      <c r="Q18" s="173"/>
    </row>
    <row r="19">
      <c r="A19" s="144" t="str">
        <f>ID_Valid(E19)</f>
      </c>
      <c r="B19" s="165">
        <v>90</v>
      </c>
      <c r="C19" s="166" t="str">
        <f>IFERROR(INDEX(Logs!$B$2:$B$500,MATCH('Beneficiaries (5)'!$B19,Logs!$A$2:$A$500,0)),"")</f>
        <v>Ntomboxolo</v>
      </c>
      <c r="D19" s="166" t="str">
        <f>IFERROR(INDEX(Logs!$C$2:$C$500,MATCH('Beneficiaries (5)'!$B19,Logs!$A$2:$A$500,0)),"")</f>
        <v>Mthathelwa</v>
      </c>
      <c r="E19" s="167" t="str">
        <f>IFERROR(INDEX(Logs!$D$2:$D$500,MATCH('Beneficiaries (5)'!$B19,Logs!$A$2:$A$500,0)),"")</f>
        <v>8406041387086</v>
      </c>
      <c r="F19" s="168" t="s">
        <v>125</v>
      </c>
      <c r="G19" s="165" t="str">
        <f>TheGender(E19)</f>
        <v>F</v>
      </c>
      <c r="H19" s="165" t="s">
        <v>125</v>
      </c>
      <c r="I19" s="165" t="s">
        <v>126</v>
      </c>
      <c r="J19" s="165" t="str">
        <f>IFERROR(INDEX(Logs!$E$2:$E$500,MATCH('Beneficiaries (5)'!$B19,Logs!$A$2:$A$500,0)),"")</f>
        <v>14/05/0009</v>
      </c>
      <c r="K19" s="165" t="str">
        <f>IFERROR(INDEX(Logs!$F$2:$F$500,MATCH('Beneficiaries (5)'!$B19,Logs!$A$2:$A$500,0)),"")</f>
        <v>15/05/0036</v>
      </c>
      <c r="L19" s="165">
        <f>IFERROR(INDEX(Logs!$G$2:$G$500,MATCH('Beneficiaries (5)'!$B19,Logs!$A$2:$A$500,0)),0)</f>
        <v>22</v>
      </c>
      <c r="M19" s="165">
        <v>0</v>
      </c>
      <c r="N19" s="165">
        <f>L19+M19</f>
        <v>22</v>
      </c>
      <c r="O19" s="171">
        <f>IFERROR(INDEX(Logs!$H$2:$H$500,MATCH('Beneficiaries (5)'!$B19,Logs!$A$2:$A$500,0)),)</f>
        <v>204.16</v>
      </c>
      <c r="P19" s="172">
        <f>IFERROR(N19*O19,0)</f>
        <v>4491.5199999999995</v>
      </c>
      <c r="Q19" s="173"/>
    </row>
    <row r="20">
      <c r="A20" s="144" t="str">
        <f>ID_Valid(E20)</f>
      </c>
      <c r="B20" s="165">
        <v>91</v>
      </c>
      <c r="C20" s="166" t="str">
        <f>IFERROR(INDEX(Logs!$B$2:$B$500,MATCH('Beneficiaries (5)'!$B20,Logs!$A$2:$A$500,0)),"")</f>
        <v>Busisiwe</v>
      </c>
      <c r="D20" s="166" t="str">
        <f>IFERROR(INDEX(Logs!$C$2:$C$500,MATCH('Beneficiaries (5)'!$B20,Logs!$A$2:$A$500,0)),"")</f>
        <v>Mdingi</v>
      </c>
      <c r="E20" s="167" t="str">
        <f>IFERROR(INDEX(Logs!$D$2:$D$500,MATCH('Beneficiaries (5)'!$B20,Logs!$A$2:$A$500,0)),"")</f>
        <v>8704041264085</v>
      </c>
      <c r="F20" s="168" t="s">
        <v>125</v>
      </c>
      <c r="G20" s="165" t="str">
        <f>TheGender(E20)</f>
        <v>F</v>
      </c>
      <c r="H20" s="165" t="s">
        <v>125</v>
      </c>
      <c r="I20" s="165" t="s">
        <v>126</v>
      </c>
      <c r="J20" s="165" t="str">
        <f>IFERROR(INDEX(Logs!$E$2:$E$500,MATCH('Beneficiaries (5)'!$B20,Logs!$A$2:$A$500,0)),"")</f>
        <v>14/05/0009</v>
      </c>
      <c r="K20" s="165" t="str">
        <f>IFERROR(INDEX(Logs!$F$2:$F$500,MATCH('Beneficiaries (5)'!$B20,Logs!$A$2:$A$500,0)),"")</f>
        <v>15/05/0036</v>
      </c>
      <c r="L20" s="165">
        <f>IFERROR(INDEX(Logs!$G$2:$G$500,MATCH('Beneficiaries (5)'!$B20,Logs!$A$2:$A$500,0)),0)</f>
        <v>22</v>
      </c>
      <c r="M20" s="165">
        <v>0</v>
      </c>
      <c r="N20" s="165">
        <f>L20+M20</f>
        <v>22</v>
      </c>
      <c r="O20" s="171">
        <f>IFERROR(INDEX(Logs!$H$2:$H$500,MATCH('Beneficiaries (5)'!$B20,Logs!$A$2:$A$500,0)),)</f>
        <v>204.16</v>
      </c>
      <c r="P20" s="172">
        <f>IFERROR(N20*O20,0)</f>
        <v>4491.5199999999995</v>
      </c>
      <c r="Q20" s="173"/>
    </row>
    <row r="21">
      <c r="A21" s="144" t="str">
        <f>ID_Valid(E21)</f>
      </c>
      <c r="B21" s="165">
        <v>92</v>
      </c>
      <c r="C21" s="166" t="str">
        <f>IFERROR(INDEX(Logs!$B$2:$B$500,MATCH('Beneficiaries (5)'!$B21,Logs!$A$2:$A$500,0)),"")</f>
        <v>Ntobeko</v>
      </c>
      <c r="D21" s="166" t="str">
        <f>IFERROR(INDEX(Logs!$C$2:$C$500,MATCH('Beneficiaries (5)'!$B21,Logs!$A$2:$A$500,0)),"")</f>
        <v>Cwaba</v>
      </c>
      <c r="E21" s="167" t="str">
        <f>IFERROR(INDEX(Logs!$D$2:$D$500,MATCH('Beneficiaries (5)'!$B21,Logs!$A$2:$A$500,0)),"")</f>
        <v>8801245773083</v>
      </c>
      <c r="F21" s="168" t="s">
        <v>125</v>
      </c>
      <c r="G21" s="165" t="str">
        <f>TheGender(E21)</f>
        <v>M</v>
      </c>
      <c r="H21" s="165" t="s">
        <v>125</v>
      </c>
      <c r="I21" s="165" t="s">
        <v>126</v>
      </c>
      <c r="J21" s="165" t="str">
        <f>IFERROR(INDEX(Logs!$E$2:$E$500,MATCH('Beneficiaries (5)'!$B21,Logs!$A$2:$A$500,0)),"")</f>
        <v>14/05/0009</v>
      </c>
      <c r="K21" s="165" t="str">
        <f>IFERROR(INDEX(Logs!$F$2:$F$500,MATCH('Beneficiaries (5)'!$B21,Logs!$A$2:$A$500,0)),"")</f>
        <v>15/05/0036</v>
      </c>
      <c r="L21" s="165">
        <f>IFERROR(INDEX(Logs!$G$2:$G$500,MATCH('Beneficiaries (5)'!$B21,Logs!$A$2:$A$500,0)),0)</f>
        <v>19</v>
      </c>
      <c r="M21" s="165">
        <v>0</v>
      </c>
      <c r="N21" s="165">
        <f>L21+M21</f>
        <v>19</v>
      </c>
      <c r="O21" s="171">
        <f>IFERROR(INDEX(Logs!$H$2:$H$500,MATCH('Beneficiaries (5)'!$B21,Logs!$A$2:$A$500,0)),)</f>
        <v>204.16</v>
      </c>
      <c r="P21" s="172">
        <f>IFERROR(N21*O21,0)</f>
        <v>3879.04</v>
      </c>
      <c r="Q21" s="173"/>
    </row>
    <row r="22">
      <c r="A22" s="144" t="str">
        <f>ID_Valid(E22)</f>
      </c>
      <c r="B22" s="165">
        <v>93</v>
      </c>
      <c r="C22" s="174" t="str">
        <f>IFERROR(INDEX(Logs!$B$2:$B$500,MATCH('Beneficiaries (5)'!$B22,Logs!$A$2:$A$500,0)),"")</f>
        <v>Bonelwa</v>
      </c>
      <c r="D22" s="166" t="str">
        <f>IFERROR(INDEX(Logs!$C$2:$C$500,MATCH('Beneficiaries (5)'!$B22,Logs!$A$2:$A$500,0)),"")</f>
        <v>Ndendze</v>
      </c>
      <c r="E22" s="167" t="str">
        <f>IFERROR(INDEX(Logs!$D$2:$D$500,MATCH('Beneficiaries (5)'!$B22,Logs!$A$2:$A$500,0)),"")</f>
        <v>8009091193089</v>
      </c>
      <c r="F22" s="168" t="s">
        <v>125</v>
      </c>
      <c r="G22" s="165" t="str">
        <f>TheGender(E22)</f>
        <v>F</v>
      </c>
      <c r="H22" s="165" t="s">
        <v>125</v>
      </c>
      <c r="I22" s="165" t="s">
        <v>126</v>
      </c>
      <c r="J22" s="165" t="str">
        <f>IFERROR(INDEX(Logs!$E$2:$E$500,MATCH('Beneficiaries (5)'!$B22,Logs!$A$2:$A$500,0)),"")</f>
        <v>14/05/0009</v>
      </c>
      <c r="K22" s="165" t="str">
        <f>IFERROR(INDEX(Logs!$F$2:$F$500,MATCH('Beneficiaries (5)'!$B22,Logs!$A$2:$A$500,0)),"")</f>
        <v>15/05/0036</v>
      </c>
      <c r="L22" s="165">
        <f>IFERROR(INDEX(Logs!$G$2:$G$500,MATCH('Beneficiaries (5)'!$B22,Logs!$A$2:$A$500,0)),0)</f>
        <v>22</v>
      </c>
      <c r="M22" s="165">
        <v>0</v>
      </c>
      <c r="N22" s="165">
        <f>L22+M22</f>
        <v>22</v>
      </c>
      <c r="O22" s="171">
        <f>IFERROR(INDEX(Logs!$H$2:$H$500,MATCH('Beneficiaries (5)'!$B22,Logs!$A$2:$A$500,0)),)</f>
        <v>204.16</v>
      </c>
      <c r="P22" s="172">
        <f>IFERROR(N22*O22,0)</f>
        <v>4491.5199999999995</v>
      </c>
      <c r="Q22" s="173"/>
    </row>
    <row r="23">
      <c r="A23" s="144" t="str">
        <f>ID_Valid(E23)</f>
      </c>
      <c r="B23" s="165">
        <v>94</v>
      </c>
      <c r="C23" s="174" t="str">
        <f>IFERROR(INDEX(Logs!$B$2:$B$500,MATCH('Beneficiaries (5)'!$B23,Logs!$A$2:$A$500,0)),"")</f>
        <v>Zimkhitha</v>
      </c>
      <c r="D23" s="166" t="str">
        <f>IFERROR(INDEX(Logs!$C$2:$C$500,MATCH('Beneficiaries (5)'!$B23,Logs!$A$2:$A$500,0)),"")</f>
        <v>Dyantyi</v>
      </c>
      <c r="E23" s="167" t="str">
        <f>IFERROR(INDEX(Logs!$D$2:$D$500,MATCH('Beneficiaries (5)'!$B23,Logs!$A$2:$A$500,0)),"")</f>
        <v>9607170465085</v>
      </c>
      <c r="F23" s="168" t="s">
        <v>125</v>
      </c>
      <c r="G23" s="165" t="str">
        <f>TheGender(E23)</f>
        <v>F</v>
      </c>
      <c r="H23" s="165" t="s">
        <v>125</v>
      </c>
      <c r="I23" s="165" t="s">
        <v>126</v>
      </c>
      <c r="J23" s="165" t="str">
        <f>IFERROR(INDEX(Logs!$E$2:$E$500,MATCH('Beneficiaries (5)'!$B23,Logs!$A$2:$A$500,0)),"")</f>
        <v>15/05/0014</v>
      </c>
      <c r="K23" s="165" t="str">
        <f>IFERROR(INDEX(Logs!$F$2:$F$500,MATCH('Beneficiaries (5)'!$B23,Logs!$A$2:$A$500,0)),"")</f>
        <v>15/05/0036</v>
      </c>
      <c r="L23" s="165">
        <f>IFERROR(INDEX(Logs!$G$2:$G$500,MATCH('Beneficiaries (5)'!$B23,Logs!$A$2:$A$500,0)),0)</f>
        <v>22</v>
      </c>
      <c r="M23" s="165">
        <v>0</v>
      </c>
      <c r="N23" s="165">
        <f>L23+M23</f>
        <v>22</v>
      </c>
      <c r="O23" s="171">
        <f>IFERROR(INDEX(Logs!$H$2:$H$500,MATCH('Beneficiaries (5)'!$B23,Logs!$A$2:$A$500,0)),)</f>
        <v>204.16</v>
      </c>
      <c r="P23" s="172">
        <f>IFERROR(N23*O23,0)</f>
        <v>4491.5199999999995</v>
      </c>
      <c r="Q23" s="173"/>
    </row>
    <row r="24">
      <c r="A24" s="144" t="str">
        <f>ID_Valid(E24)</f>
        <v>INVALID ID - Check Digit</v>
      </c>
      <c r="B24" s="165">
        <v>95</v>
      </c>
      <c r="C24" s="174" t="str">
        <f>IFERROR(INDEX(Logs!$B$2:$B$500,MATCH('Beneficiaries (5)'!$B24,Logs!$A$2:$A$500,0)),"")</f>
        <v>Nombingisana</v>
      </c>
      <c r="D24" s="166" t="str">
        <f>IFERROR(INDEX(Logs!$C$2:$C$500,MATCH('Beneficiaries (5)'!$B24,Logs!$A$2:$A$500,0)),"")</f>
        <v>Mgcikwa</v>
      </c>
      <c r="E24" s="167" t="str">
        <f>IFERROR(INDEX(Logs!$D$2:$D$500,MATCH('Beneficiaries (5)'!$B24,Logs!$A$2:$A$500,0)),"")</f>
        <v>8007020645082</v>
      </c>
      <c r="F24" s="168" t="s">
        <v>125</v>
      </c>
      <c r="G24" s="165" t="str">
        <f>TheGender(E24)</f>
        <v>F</v>
      </c>
      <c r="H24" s="165" t="s">
        <v>125</v>
      </c>
      <c r="I24" s="165" t="s">
        <v>126</v>
      </c>
      <c r="J24" s="165" t="str">
        <f>IFERROR(INDEX(Logs!$E$2:$E$500,MATCH('Beneficiaries (5)'!$B24,Logs!$A$2:$A$500,0)),"")</f>
        <v>15/05/0014</v>
      </c>
      <c r="K24" s="165" t="str">
        <f>IFERROR(INDEX(Logs!$F$2:$F$500,MATCH('Beneficiaries (5)'!$B24,Logs!$A$2:$A$500,0)),"")</f>
        <v>15/05/0036</v>
      </c>
      <c r="L24" s="165">
        <f>IFERROR(INDEX(Logs!$G$2:$G$500,MATCH('Beneficiaries (5)'!$B24,Logs!$A$2:$A$500,0)),0)</f>
        <v>22</v>
      </c>
      <c r="M24" s="165">
        <v>0</v>
      </c>
      <c r="N24" s="165">
        <f>L24+M24</f>
        <v>22</v>
      </c>
      <c r="O24" s="171">
        <f>IFERROR(INDEX(Logs!$H$2:$H$500,MATCH('Beneficiaries (5)'!$B24,Logs!$A$2:$A$500,0)),)</f>
        <v>204.16</v>
      </c>
      <c r="P24" s="172">
        <f>IFERROR(N24*O24,0)</f>
        <v>4491.5199999999995</v>
      </c>
      <c r="Q24" s="173"/>
    </row>
    <row r="25">
      <c r="A25" s="144" t="str">
        <f>ID_Valid(E25)</f>
      </c>
      <c r="B25" s="165">
        <v>96</v>
      </c>
      <c r="C25" s="170" t="str">
        <f>IFERROR(INDEX(Logs!$B$2:$B$500,MATCH('Beneficiaries (5)'!$B25,Logs!$A$2:$A$500,0)),"")</f>
        <v>Nocawe</v>
      </c>
      <c r="D25" s="166" t="str">
        <f>IFERROR(INDEX(Logs!$C$2:$C$500,MATCH('Beneficiaries (5)'!$B25,Logs!$A$2:$A$500,0)),"")</f>
        <v>Mhlomi</v>
      </c>
      <c r="E25" s="167" t="str">
        <f>IFERROR(INDEX(Logs!$D$2:$D$500,MATCH('Beneficiaries (5)'!$B25,Logs!$A$2:$A$500,0)),"")</f>
        <v>7002281405083</v>
      </c>
      <c r="F25" s="168" t="s">
        <v>125</v>
      </c>
      <c r="G25" s="165" t="str">
        <f>TheGender(E25)</f>
        <v>F</v>
      </c>
      <c r="H25" s="165" t="s">
        <v>125</v>
      </c>
      <c r="I25" s="165" t="s">
        <v>126</v>
      </c>
      <c r="J25" s="165" t="str">
        <f>IFERROR(INDEX(Logs!$E$2:$E$500,MATCH('Beneficiaries (5)'!$B25,Logs!$A$2:$A$500,0)),"")</f>
        <v>15/05/0014</v>
      </c>
      <c r="K25" s="165" t="str">
        <f>IFERROR(INDEX(Logs!$F$2:$F$500,MATCH('Beneficiaries (5)'!$B25,Logs!$A$2:$A$500,0)),"")</f>
        <v>15/05/0036</v>
      </c>
      <c r="L25" s="165">
        <f>IFERROR(INDEX(Logs!$G$2:$G$500,MATCH('Beneficiaries (5)'!$B25,Logs!$A$2:$A$500,0)),0)</f>
        <v>22</v>
      </c>
      <c r="M25" s="165">
        <v>0</v>
      </c>
      <c r="N25" s="165">
        <f>L25+M25</f>
        <v>22</v>
      </c>
      <c r="O25" s="171">
        <f>IFERROR(INDEX(Logs!$H$2:$H$500,MATCH('Beneficiaries (5)'!$B25,Logs!$A$2:$A$500,0)),)</f>
        <v>204.16</v>
      </c>
      <c r="P25" s="172">
        <f>IFERROR(N25*O25,0)</f>
        <v>4491.5199999999995</v>
      </c>
      <c r="Q25" s="173"/>
    </row>
    <row r="26">
      <c r="A26" s="144" t="str">
        <f>ID_Valid(E26)</f>
      </c>
      <c r="B26" s="165">
        <v>97</v>
      </c>
      <c r="C26" s="170" t="str">
        <f>IFERROR(INDEX(Logs!$B$2:$B$500,MATCH('Beneficiaries (5)'!$B26,Logs!$A$2:$A$500,0)),"")</f>
        <v>Nosilungisele</v>
      </c>
      <c r="D26" s="166" t="str">
        <f>IFERROR(INDEX(Logs!$C$2:$C$500,MATCH('Beneficiaries (5)'!$B26,Logs!$A$2:$A$500,0)),"")</f>
        <v>Dumisana</v>
      </c>
      <c r="E26" s="167" t="str">
        <f>IFERROR(INDEX(Logs!$D$2:$D$500,MATCH('Beneficiaries (5)'!$B26,Logs!$A$2:$A$500,0)),"")</f>
        <v>7212281049084</v>
      </c>
      <c r="F26" s="168" t="s">
        <v>125</v>
      </c>
      <c r="G26" s="165" t="str">
        <f>TheGender(E26)</f>
        <v>F</v>
      </c>
      <c r="H26" s="165" t="s">
        <v>125</v>
      </c>
      <c r="I26" s="165" t="s">
        <v>126</v>
      </c>
      <c r="J26" s="165" t="str">
        <f>IFERROR(INDEX(Logs!$E$2:$E$500,MATCH('Beneficiaries (5)'!$B26,Logs!$A$2:$A$500,0)),"")</f>
        <v>15/05/0014</v>
      </c>
      <c r="K26" s="165" t="str">
        <f>IFERROR(INDEX(Logs!$F$2:$F$500,MATCH('Beneficiaries (5)'!$B26,Logs!$A$2:$A$500,0)),"")</f>
        <v>15/05/0036</v>
      </c>
      <c r="L26" s="165">
        <f>IFERROR(INDEX(Logs!$G$2:$G$500,MATCH('Beneficiaries (5)'!$B26,Logs!$A$2:$A$500,0)),0)</f>
        <v>22</v>
      </c>
      <c r="M26" s="165">
        <v>0</v>
      </c>
      <c r="N26" s="165">
        <f>L26+M26</f>
        <v>22</v>
      </c>
      <c r="O26" s="171">
        <f>IFERROR(INDEX(Logs!$H$2:$H$500,MATCH('Beneficiaries (5)'!$B26,Logs!$A$2:$A$500,0)),)</f>
        <v>204.16</v>
      </c>
      <c r="P26" s="172">
        <f>IFERROR(N26*O26,0)</f>
        <v>4491.5199999999995</v>
      </c>
      <c r="Q26" s="173"/>
    </row>
    <row r="27">
      <c r="A27" s="144" t="str">
        <f>ID_Valid(E27)</f>
      </c>
      <c r="B27" s="165">
        <v>98</v>
      </c>
      <c r="C27" s="170" t="str">
        <f>IFERROR(INDEX(Logs!$B$2:$B$500,MATCH('Beneficiaries (5)'!$B27,Logs!$A$2:$A$500,0)),"")</f>
        <v>Lydia</v>
      </c>
      <c r="D27" s="166" t="str">
        <f>IFERROR(INDEX(Logs!$C$2:$C$500,MATCH('Beneficiaries (5)'!$B27,Logs!$A$2:$A$500,0)),"")</f>
        <v>Thompson</v>
      </c>
      <c r="E27" s="167" t="str">
        <f>IFERROR(INDEX(Logs!$D$2:$D$500,MATCH('Beneficiaries (5)'!$B27,Logs!$A$2:$A$500,0)),"")</f>
        <v>7009030116085</v>
      </c>
      <c r="F27" s="168" t="s">
        <v>125</v>
      </c>
      <c r="G27" s="165" t="str">
        <f>TheGender(E27)</f>
        <v>F</v>
      </c>
      <c r="H27" s="165" t="s">
        <v>125</v>
      </c>
      <c r="I27" s="165" t="s">
        <v>126</v>
      </c>
      <c r="J27" s="165" t="str">
        <f>IFERROR(INDEX(Logs!$E$2:$E$500,MATCH('Beneficiaries (5)'!$B27,Logs!$A$2:$A$500,0)),"")</f>
        <v>15/05/0014</v>
      </c>
      <c r="K27" s="165" t="str">
        <f>IFERROR(INDEX(Logs!$F$2:$F$500,MATCH('Beneficiaries (5)'!$B27,Logs!$A$2:$A$500,0)),"")</f>
        <v>15/05/0036</v>
      </c>
      <c r="L27" s="165">
        <f>IFERROR(INDEX(Logs!$G$2:$G$500,MATCH('Beneficiaries (5)'!$B27,Logs!$A$2:$A$500,0)),0)</f>
        <v>22</v>
      </c>
      <c r="M27" s="165">
        <v>0</v>
      </c>
      <c r="N27" s="165">
        <f>L27+M27</f>
        <v>22</v>
      </c>
      <c r="O27" s="171">
        <f>IFERROR(INDEX(Logs!$H$2:$H$500,MATCH('Beneficiaries (5)'!$B27,Logs!$A$2:$A$500,0)),)</f>
        <v>204.16</v>
      </c>
      <c r="P27" s="172">
        <f>IFERROR(N27*O27,0)</f>
        <v>4491.5199999999995</v>
      </c>
      <c r="Q27" s="173"/>
    </row>
    <row r="28">
      <c r="A28" s="144" t="str">
        <f>ID_Valid(E28)</f>
      </c>
      <c r="B28" s="165">
        <v>99</v>
      </c>
      <c r="C28" s="170" t="str">
        <f>IFERROR(INDEX(Logs!$B$2:$B$500,MATCH('Beneficiaries (5)'!$B28,Logs!$A$2:$A$500,0)),"")</f>
        <v>Babalwa</v>
      </c>
      <c r="D28" s="166" t="str">
        <f>IFERROR(INDEX(Logs!$C$2:$C$500,MATCH('Beneficiaries (5)'!$B28,Logs!$A$2:$A$500,0)),"")</f>
        <v>Nokutshaya</v>
      </c>
      <c r="E28" s="167" t="str">
        <f>IFERROR(INDEX(Logs!$D$2:$D$500,MATCH('Beneficiaries (5)'!$B28,Logs!$A$2:$A$500,0)),"")</f>
        <v>8407041010082</v>
      </c>
      <c r="F28" s="168" t="s">
        <v>125</v>
      </c>
      <c r="G28" s="165" t="str">
        <f>TheGender(E28)</f>
        <v>F</v>
      </c>
      <c r="H28" s="165" t="s">
        <v>125</v>
      </c>
      <c r="I28" s="165" t="s">
        <v>126</v>
      </c>
      <c r="J28" s="165" t="str">
        <f>IFERROR(INDEX(Logs!$E$2:$E$500,MATCH('Beneficiaries (5)'!$B28,Logs!$A$2:$A$500,0)),"")</f>
        <v>15/05/0014</v>
      </c>
      <c r="K28" s="165" t="str">
        <f>IFERROR(INDEX(Logs!$F$2:$F$500,MATCH('Beneficiaries (5)'!$B28,Logs!$A$2:$A$500,0)),"")</f>
        <v>15/05/0036</v>
      </c>
      <c r="L28" s="165">
        <f>IFERROR(INDEX(Logs!$G$2:$G$500,MATCH('Beneficiaries (5)'!$B28,Logs!$A$2:$A$500,0)),0)</f>
        <v>22</v>
      </c>
      <c r="M28" s="165">
        <v>0</v>
      </c>
      <c r="N28" s="165">
        <f>L28+M28</f>
        <v>22</v>
      </c>
      <c r="O28" s="171">
        <f>IFERROR(INDEX(Logs!$H$2:$H$500,MATCH('Beneficiaries (5)'!$B28,Logs!$A$2:$A$500,0)),)</f>
        <v>204.16</v>
      </c>
      <c r="P28" s="172">
        <f>IFERROR(N28*O28,0)</f>
        <v>4491.5199999999995</v>
      </c>
      <c r="Q28" s="173"/>
    </row>
    <row r="29">
      <c r="A29" s="144" t="str">
        <f>ID_Valid(E29)</f>
      </c>
      <c r="B29" s="165">
        <v>100</v>
      </c>
      <c r="C29" s="170" t="str">
        <f>IFERROR(INDEX(Logs!$B$2:$B$500,MATCH('Beneficiaries (5)'!$B29,Logs!$A$2:$A$500,0)),"")</f>
        <v>Cecilia</v>
      </c>
      <c r="D29" s="170" t="str">
        <f>IFERROR(INDEX(Logs!$C$2:$C$500,MATCH('Beneficiaries (5)'!$B29,Logs!$A$2:$A$500,0)),"")</f>
        <v>Pekenene</v>
      </c>
      <c r="E29" s="167" t="str">
        <f>IFERROR(INDEX(Logs!$D$2:$D$500,MATCH('Beneficiaries (5)'!$B29,Logs!$A$2:$A$500,0)),"")</f>
        <v>8704170393085</v>
      </c>
      <c r="F29" s="168" t="s">
        <v>125</v>
      </c>
      <c r="G29" s="165" t="str">
        <f>TheGender(E29)</f>
        <v>F</v>
      </c>
      <c r="H29" s="165" t="s">
        <v>125</v>
      </c>
      <c r="I29" s="165" t="s">
        <v>126</v>
      </c>
      <c r="J29" s="165" t="str">
        <f>IFERROR(INDEX(Logs!$E$2:$E$500,MATCH('Beneficiaries (5)'!$B29,Logs!$A$2:$A$500,0)),"")</f>
        <v>15/05/0014</v>
      </c>
      <c r="K29" s="165" t="str">
        <f>IFERROR(INDEX(Logs!$F$2:$F$500,MATCH('Beneficiaries (5)'!$B29,Logs!$A$2:$A$500,0)),"")</f>
        <v>15/05/0036</v>
      </c>
      <c r="L29" s="165">
        <f>IFERROR(INDEX(Logs!$G$2:$G$500,MATCH('Beneficiaries (5)'!$B29,Logs!$A$2:$A$500,0)),0)</f>
        <v>22</v>
      </c>
      <c r="M29" s="165">
        <v>0</v>
      </c>
      <c r="N29" s="165">
        <f>L29+M29</f>
        <v>22</v>
      </c>
      <c r="O29" s="171">
        <f>IFERROR(INDEX(Logs!$H$2:$H$500,MATCH('Beneficiaries (5)'!$B29,Logs!$A$2:$A$500,0)),)</f>
        <v>204.16</v>
      </c>
      <c r="P29" s="172">
        <f>IFERROR(N29*O29,0)</f>
        <v>4491.5199999999995</v>
      </c>
      <c r="Q29" s="173"/>
    </row>
    <row r="30">
      <c r="A30" s="144" t="s"/>
      <c r="B30" s="175"/>
      <c r="C30" s="175"/>
      <c r="D30" s="175"/>
      <c r="E30" s="175"/>
      <c r="F30" s="175"/>
      <c r="G30" s="175"/>
      <c r="H30" s="175"/>
      <c r="I30" s="175"/>
      <c r="J30" s="175"/>
      <c r="K30" s="175"/>
      <c r="L30" s="176">
        <f>SUM(L10:L29)</f>
        <v>414</v>
      </c>
      <c r="M30" s="176">
        <f>SUM(M10:M29)</f>
        <v>0</v>
      </c>
      <c r="N30" s="176">
        <f>SUM(N10:N29)</f>
        <v>414</v>
      </c>
      <c r="O30" s="177">
        <f>SUM(O10:O29)</f>
        <v>4083.1999999999989</v>
      </c>
      <c r="P30" s="178">
        <f>SUM(P10:P29)</f>
        <v>84522.240000000005</v>
      </c>
      <c r="Q30" s="179"/>
    </row>
    <row r="31" ht="27" customHeight="true">
      <c r="A31" s="144" t="s"/>
      <c r="B31" s="180" t="s">
        <v>127</v>
      </c>
      <c r="C31" s="180"/>
      <c r="D31" s="181" t="s">
        <v>128</v>
      </c>
      <c r="E31" s="153" t="str">
        <f>Project!$G$30</f>
        <v>Benjamin Milandou-Loubeka</v>
      </c>
      <c r="F31" s="153"/>
      <c r="G31" s="153"/>
      <c r="H31" s="153" t="s">
        <v>129</v>
      </c>
      <c r="I31" s="157"/>
      <c r="J31" s="157"/>
      <c r="K31" s="157"/>
      <c r="L31" s="157"/>
      <c r="M31" s="157"/>
      <c r="N31" s="157"/>
      <c r="O31" s="157"/>
      <c r="P31" s="157"/>
      <c r="Q31" s="14"/>
    </row>
    <row r="32" ht="27" customHeight="true">
      <c r="A32" s="144" t="s"/>
      <c r="B32" s="180"/>
      <c r="C32" s="180"/>
      <c r="D32" s="181" t="s">
        <v>130</v>
      </c>
      <c r="E32" s="182">
        <f>Project!$AN$1</f>
        <v>45199</v>
      </c>
      <c r="F32" s="182"/>
      <c r="G32" s="182"/>
      <c r="H32" s="153"/>
      <c r="I32" s="157"/>
      <c r="J32" s="157"/>
      <c r="K32" s="157"/>
      <c r="L32" s="157"/>
      <c r="M32" s="157"/>
      <c r="N32" s="157"/>
      <c r="O32" s="157"/>
      <c r="P32" s="157"/>
      <c r="Q32" s="14"/>
    </row>
    <row r="33" ht="14.25" customHeight="true">
      <c r="A33" s="144" t="s"/>
      <c r="B33" s="158"/>
      <c r="C33" s="158"/>
      <c r="D33" s="183"/>
      <c r="E33" s="14"/>
      <c r="F33" s="14"/>
      <c r="G33" s="14"/>
      <c r="H33" s="148"/>
      <c r="I33" s="14"/>
      <c r="J33" s="14"/>
      <c r="K33" s="14"/>
      <c r="L33" s="14"/>
      <c r="M33" s="14"/>
      <c r="N33" s="14"/>
      <c r="O33" s="14"/>
      <c r="P33" s="14"/>
      <c r="Q33" s="14"/>
    </row>
    <row r="34" ht="27" customHeight="true">
      <c r="A34" s="144" t="s"/>
      <c r="B34" s="180" t="s">
        <v>131</v>
      </c>
      <c r="C34" s="180"/>
      <c r="D34" s="181" t="s">
        <v>128</v>
      </c>
      <c r="E34" s="157"/>
      <c r="F34" s="157"/>
      <c r="G34" s="157"/>
      <c r="H34" s="153" t="s">
        <v>129</v>
      </c>
      <c r="I34" s="157"/>
      <c r="J34" s="157"/>
      <c r="K34" s="157"/>
      <c r="L34" s="157"/>
      <c r="M34" s="157"/>
      <c r="N34" s="157"/>
      <c r="O34" s="157"/>
      <c r="P34" s="157"/>
      <c r="Q34" s="14"/>
    </row>
    <row r="35" ht="27" customHeight="true">
      <c r="A35" s="144" t="s"/>
      <c r="B35" s="180"/>
      <c r="C35" s="180"/>
      <c r="D35" s="181" t="s">
        <v>130</v>
      </c>
      <c r="E35" s="157"/>
      <c r="F35" s="157"/>
      <c r="G35" s="157"/>
      <c r="H35" s="153"/>
      <c r="I35" s="157"/>
      <c r="J35" s="157"/>
      <c r="K35" s="157"/>
      <c r="L35" s="157"/>
      <c r="M35" s="157"/>
      <c r="N35" s="157"/>
      <c r="O35" s="157"/>
      <c r="P35" s="157"/>
      <c r="Q35" s="14"/>
    </row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>
      <c r="A74" s="144" t="s"/>
      <c r="B74" s="14"/>
    </row>
  </sheetData>
  <dataValidations count="1">
    <dataValidation allowBlank="true" showInputMessage="true" showErrorMessage="true" promptTitle="Month" type="" sqref="I6">
      <formula1/>
    </dataValidation>
  </dataValidations>
  <mergeCells count="14">
    <mergeCell ref="B3:P3"/>
    <mergeCell ref="B5:C6"/>
    <mergeCell ref="D5:E6"/>
    <mergeCell ref="K5:M5"/>
    <mergeCell ref="B31:C32"/>
    <mergeCell ref="E31:G31"/>
    <mergeCell ref="H31:H32"/>
    <mergeCell ref="I31:P32"/>
    <mergeCell ref="E32:G32"/>
    <mergeCell ref="B34:C35"/>
    <mergeCell ref="E34:G34"/>
    <mergeCell ref="H34:H35"/>
    <mergeCell ref="I34:P35"/>
    <mergeCell ref="E35:G35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7.xml><?xml version="1.0" encoding="utf-8"?>
<worksheet xmlns="http://schemas.openxmlformats.org/spreadsheetml/2006/main">
  <sheetPr filterMode="false">
    <pageSetUpPr fitToPage="false"/>
  </sheetPr>
  <dimension ref="A1:R74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85546875" defaultRowHeight="12.75"/>
  <cols>
    <col collapsed="false" hidden="false" max="1" min="1" style="144" width="20.7109375" customWidth="true"/>
    <col collapsed="false" hidden="false" max="2" min="2" style="1" width="4.42578125" customWidth="true"/>
    <col collapsed="false" hidden="false" max="5" min="3" style="1" width="24.42578125" customWidth="true"/>
    <col collapsed="false" hidden="false" max="5" min="3" style="1" width="24.42578125" customWidth="true"/>
    <col collapsed="false" hidden="false" max="5" min="3" style="1" width="24.42578125" customWidth="true"/>
    <col collapsed="false" hidden="false" max="6" min="6" style="1" width="10.140625" customWidth="true"/>
    <col collapsed="false" hidden="false" max="9" min="7" style="1" width="8.85546875" customWidth="true"/>
    <col collapsed="false" hidden="false" max="9" min="7" style="1" width="8.85546875" customWidth="true"/>
    <col collapsed="false" hidden="false" max="9" min="7" style="1" width="8.85546875" customWidth="true"/>
    <col collapsed="false" hidden="false" max="11" min="10" style="1" width="10.140625" customWidth="true"/>
    <col collapsed="false" hidden="false" max="11" min="10" style="1" width="10.14062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7" min="16" style="1" width="14.5703125" customWidth="true"/>
    <col collapsed="false" hidden="false" max="17" min="16" style="1" width="14.5703125" customWidth="true"/>
    <col collapsed="false" hidden="false" max="18" min="18" style="145" width="8.85546875" customWidth="true"/>
  </cols>
  <sheetData>
    <row r="1">
      <c r="A1" s="144" t="s"/>
      <c r="B1" s="146" t="s">
        <v>96</v>
      </c>
      <c r="C1" s="2"/>
      <c r="D1" s="2"/>
      <c r="E1" s="147" t="s">
        <v>2</v>
      </c>
      <c r="F1" s="1" t="s"/>
      <c r="G1" s="2"/>
      <c r="H1" s="2"/>
      <c r="I1" s="2"/>
      <c r="J1" s="1" t="s"/>
      <c r="K1" s="1" t="s"/>
      <c r="L1" s="1" t="s"/>
      <c r="M1" s="1" t="s"/>
      <c r="N1" s="1" t="s"/>
      <c r="O1" s="1" t="s"/>
      <c r="P1" s="1" t="s"/>
      <c r="Q1" s="1" t="s"/>
      <c r="R1" s="11">
        <f>IF(Beneficiaries!$P$30&gt;0,1,"")</f>
        <v>1</v>
      </c>
    </row>
    <row r="2">
      <c r="A2" s="144" t="s"/>
      <c r="B2" s="1" t="s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11">
        <f>IF('Beneficiaries (2)'!$P$30&gt;0,1,"")</f>
        <v>1</v>
      </c>
    </row>
    <row r="3">
      <c r="A3" s="144" t="s"/>
      <c r="B3" s="148" t="s">
        <v>97</v>
      </c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1">
        <f>IF('Beneficiaries (3)'!$P$30&gt;0,1,"")</f>
        <v>1</v>
      </c>
    </row>
    <row r="4">
      <c r="A4" s="144" t="s"/>
      <c r="B4" s="1" t="s"/>
      <c r="C4" s="146"/>
      <c r="D4" s="146"/>
      <c r="E4" s="146"/>
      <c r="F4" s="146"/>
      <c r="G4" s="146"/>
      <c r="H4" s="1" t="s"/>
      <c r="I4" s="1" t="s"/>
      <c r="J4" s="1" t="s"/>
      <c r="K4" s="1" t="s"/>
      <c r="L4" s="1" t="s"/>
      <c r="M4" s="1" t="s"/>
      <c r="N4" s="1" t="s"/>
      <c r="O4" s="1" t="s"/>
      <c r="P4" s="1" t="s"/>
      <c r="Q4" s="1" t="s"/>
      <c r="R4" s="11">
        <f>IF('Beneficiaries (4)'!$P$30&gt;0,1,"")</f>
        <v>1</v>
      </c>
    </row>
    <row r="5" ht="12.75" customHeight="true">
      <c r="A5" s="144" t="s"/>
      <c r="B5" s="149" t="s">
        <v>98</v>
      </c>
      <c r="C5" s="150"/>
      <c r="D5" s="151" t="str">
        <f>Project!$Z$25</f>
        <v>WSDS/24/111i</v>
      </c>
      <c r="E5" s="151"/>
      <c r="F5" s="152"/>
      <c r="G5" s="1" t="s"/>
      <c r="H5" s="153" t="s">
        <v>99</v>
      </c>
      <c r="I5" s="153" t="s">
        <v>100</v>
      </c>
      <c r="J5" s="146"/>
      <c r="K5" s="154" t="s">
        <v>101</v>
      </c>
      <c r="L5" s="154"/>
      <c r="M5" s="154"/>
      <c r="N5" s="39"/>
      <c r="O5" s="39"/>
      <c r="P5" s="146"/>
      <c r="Q5" s="146"/>
      <c r="R5" s="11">
        <f>IF('Beneficiaries (5)'!$P$30&gt;0,1,"")</f>
        <v>1</v>
      </c>
    </row>
    <row r="6">
      <c r="A6" s="144" t="s"/>
      <c r="B6" s="155"/>
      <c r="C6" s="156"/>
      <c r="D6" s="151"/>
      <c r="E6" s="151"/>
      <c r="F6" s="152"/>
      <c r="G6" s="1" t="s"/>
      <c r="H6" s="109" t="str">
        <f>TEXT(Project!$AN$1,"YYYY")</f>
        <v>2023</v>
      </c>
      <c r="I6" s="109" t="str">
        <f>TEXT(Project!$AN$1,"MMMM")</f>
        <v>September</v>
      </c>
      <c r="J6" s="7"/>
      <c r="K6" s="157">
        <v>1</v>
      </c>
      <c r="L6" s="154" t="s">
        <v>102</v>
      </c>
      <c r="M6" s="154">
        <f>IF(K6&gt;0,COUNT(R1:R20),"")</f>
        <v>14</v>
      </c>
      <c r="N6" s="39"/>
      <c r="O6" s="39"/>
      <c r="P6" s="14"/>
      <c r="Q6" s="14"/>
      <c r="R6" s="11">
        <f>IF('Beneficiaries (6)'!$P$30&gt;0,1,"")</f>
        <v>1</v>
      </c>
    </row>
    <row r="7">
      <c r="A7" s="144" t="s"/>
      <c r="B7" s="158"/>
      <c r="C7" s="158"/>
      <c r="D7" s="158"/>
      <c r="E7" s="14"/>
      <c r="F7" s="14"/>
      <c r="G7" s="1" t="s"/>
      <c r="H7" s="7"/>
      <c r="I7" s="7"/>
      <c r="J7" s="7"/>
      <c r="K7" s="14"/>
      <c r="L7" s="39"/>
      <c r="M7" s="39"/>
      <c r="N7" s="39"/>
      <c r="O7" s="39"/>
      <c r="P7" s="14"/>
      <c r="Q7" s="14"/>
      <c r="R7" s="11">
        <f>IF('Beneficiaries (7)'!$P$30&gt;0,1,"")</f>
        <v>1</v>
      </c>
    </row>
    <row r="8">
      <c r="A8" s="144" t="s"/>
      <c r="B8" s="159"/>
      <c r="C8" s="160" t="s">
        <v>103</v>
      </c>
      <c r="D8" s="160" t="s">
        <v>103</v>
      </c>
      <c r="E8" s="160" t="s">
        <v>103</v>
      </c>
      <c r="F8" s="160" t="s">
        <v>104</v>
      </c>
      <c r="G8" s="159"/>
      <c r="H8" s="159"/>
      <c r="I8" s="160" t="s">
        <v>105</v>
      </c>
      <c r="J8" s="159"/>
      <c r="K8" s="160" t="s">
        <v>106</v>
      </c>
      <c r="L8" s="160" t="s">
        <v>107</v>
      </c>
      <c r="M8" s="160" t="s">
        <v>108</v>
      </c>
      <c r="N8" s="160"/>
      <c r="O8" s="160" t="s">
        <v>109</v>
      </c>
      <c r="P8" s="160"/>
      <c r="Q8" s="161"/>
      <c r="R8" s="11">
        <f>IF('Beneficiaries (8)'!$P$30&gt;0,1,"")</f>
        <v>1</v>
      </c>
    </row>
    <row r="9">
      <c r="A9" s="144" t="s"/>
      <c r="B9" s="162" t="s">
        <v>110</v>
      </c>
      <c r="C9" s="162" t="s">
        <v>111</v>
      </c>
      <c r="D9" s="162" t="s">
        <v>112</v>
      </c>
      <c r="E9" s="162" t="s">
        <v>113</v>
      </c>
      <c r="F9" s="163" t="s">
        <v>114</v>
      </c>
      <c r="G9" s="163" t="s">
        <v>115</v>
      </c>
      <c r="H9" s="163" t="s">
        <v>116</v>
      </c>
      <c r="I9" s="163" t="s">
        <v>117</v>
      </c>
      <c r="J9" s="163" t="s">
        <v>118</v>
      </c>
      <c r="K9" s="163" t="s">
        <v>119</v>
      </c>
      <c r="L9" s="163" t="s">
        <v>120</v>
      </c>
      <c r="M9" s="163" t="s">
        <v>121</v>
      </c>
      <c r="N9" s="163" t="s">
        <v>122</v>
      </c>
      <c r="O9" s="163" t="s">
        <v>123</v>
      </c>
      <c r="P9" s="163" t="s">
        <v>124</v>
      </c>
      <c r="Q9" s="164"/>
      <c r="R9" s="11">
        <f>IF('Beneficiaries (9)'!$P$30&gt;0,1,"")</f>
        <v>1</v>
      </c>
    </row>
    <row r="10">
      <c r="A10" s="144" t="str">
        <f>ID_Valid(E10)</f>
      </c>
      <c r="B10" s="165">
        <v>101</v>
      </c>
      <c r="C10" s="166" t="str">
        <f>IFERROR(INDEX(Logs!$B$2:$B$500,MATCH('Beneficiaries (6)'!$B10,Logs!$A$2:$A$500,0)),"")</f>
        <v>Nonkululeko</v>
      </c>
      <c r="D10" s="166" t="str">
        <f>IFERROR(INDEX(Logs!$C$2:$C$500,MATCH('Beneficiaries (6)'!$B10,Logs!$A$2:$A$500,0)),"")</f>
        <v>Mgetyengana</v>
      </c>
      <c r="E10" s="167" t="str">
        <f>IFERROR(INDEX(Logs!$D$2:$D$500,MATCH('Beneficiaries (6)'!$B10,Logs!$A$2:$A$500,0)),"")</f>
        <v>7603261328086</v>
      </c>
      <c r="F10" s="168" t="s">
        <v>125</v>
      </c>
      <c r="G10" s="165" t="str">
        <f>TheGender(E10)</f>
        <v>F</v>
      </c>
      <c r="H10" s="165" t="s">
        <v>125</v>
      </c>
      <c r="I10" s="169" t="s">
        <v>126</v>
      </c>
      <c r="J10" s="170" t="str">
        <f>IFERROR(INDEX(Logs!$E$2:$E$500,MATCH('Beneficiaries (6)'!$B10,Logs!$A$2:$A$500,0)),"")</f>
        <v>15/05/0014</v>
      </c>
      <c r="K10" s="170" t="str">
        <f>IFERROR(INDEX(Logs!$F$2:$F$500,MATCH('Beneficiaries (6)'!$B10,Logs!$A$2:$A$500,0)),"")</f>
        <v>15/05/0036</v>
      </c>
      <c r="L10" s="165">
        <f>IFERROR(INDEX(Logs!$G$2:$G$500,MATCH('Beneficiaries (6)'!$B10,Logs!$A$2:$A$500,0)),0)</f>
        <v>22</v>
      </c>
      <c r="M10" s="165">
        <v>0</v>
      </c>
      <c r="N10" s="165">
        <f>M10+L10</f>
        <v>22</v>
      </c>
      <c r="O10" s="171">
        <f>IFERROR(INDEX(Logs!$H$2:$H$500,MATCH('Beneficiaries (6)'!$B10,Logs!$A$2:$A$500,0)),)</f>
        <v>204.16</v>
      </c>
      <c r="P10" s="172">
        <f>IFERROR(N10*O10,0)</f>
        <v>4491.5199999999995</v>
      </c>
      <c r="Q10" s="173"/>
      <c r="R10" s="11">
        <f>IF('Beneficiaries (10)'!$P$30&gt;0,1,"")</f>
        <v>1</v>
      </c>
    </row>
    <row r="11">
      <c r="A11" s="144" t="str">
        <f>ID_Valid(E11)</f>
      </c>
      <c r="B11" s="165">
        <v>102</v>
      </c>
      <c r="C11" s="166" t="str">
        <f>IFERROR(INDEX(Logs!$B$2:$B$500,MATCH('Beneficiaries (6)'!$B11,Logs!$A$2:$A$500,0)),"")</f>
        <v>Nkeletseng</v>
      </c>
      <c r="D11" s="166" t="str">
        <f>IFERROR(INDEX(Logs!$C$2:$C$500,MATCH('Beneficiaries (6)'!$B11,Logs!$A$2:$A$500,0)),"")</f>
        <v>Monethi</v>
      </c>
      <c r="E11" s="167" t="str">
        <f>IFERROR(INDEX(Logs!$D$2:$D$500,MATCH('Beneficiaries (6)'!$B11,Logs!$A$2:$A$500,0)),"")</f>
        <v>8709131021089</v>
      </c>
      <c r="F11" s="168" t="s">
        <v>125</v>
      </c>
      <c r="G11" s="165" t="str">
        <f>TheGender(E11)</f>
        <v>F</v>
      </c>
      <c r="H11" s="165" t="s">
        <v>125</v>
      </c>
      <c r="I11" s="165" t="s">
        <v>126</v>
      </c>
      <c r="J11" s="165" t="str">
        <f>IFERROR(INDEX(Logs!$E$2:$E$500,MATCH('Beneficiaries (6)'!$B11,Logs!$A$2:$A$500,0)),"")</f>
        <v>15/05/0014</v>
      </c>
      <c r="K11" s="165" t="str">
        <f>IFERROR(INDEX(Logs!$F$2:$F$500,MATCH('Beneficiaries (6)'!$B11,Logs!$A$2:$A$500,0)),"")</f>
        <v>15/05/0036</v>
      </c>
      <c r="L11" s="165">
        <f>IFERROR(INDEX(Logs!$G$2:$G$500,MATCH('Beneficiaries (6)'!$B11,Logs!$A$2:$A$500,0)),0)</f>
        <v>22</v>
      </c>
      <c r="M11" s="165">
        <v>0</v>
      </c>
      <c r="N11" s="165">
        <f>L11+M11</f>
        <v>22</v>
      </c>
      <c r="O11" s="171">
        <f>IFERROR(INDEX(Logs!$H$2:$H$500,MATCH('Beneficiaries (6)'!$B11,Logs!$A$2:$A$500,0)),)</f>
        <v>204.16</v>
      </c>
      <c r="P11" s="172">
        <f>IFERROR(N11*O11,0)</f>
        <v>4491.5199999999995</v>
      </c>
      <c r="Q11" s="173"/>
      <c r="R11" s="11">
        <f>IF('Beneficiaries (11)'!$P$30&gt;0,1,"")</f>
        <v>1</v>
      </c>
    </row>
    <row r="12">
      <c r="A12" s="144" t="str">
        <f>ID_Valid(E12)</f>
      </c>
      <c r="B12" s="165">
        <v>103</v>
      </c>
      <c r="C12" s="166" t="str">
        <f>IFERROR(INDEX(Logs!$B$2:$B$500,MATCH('Beneficiaries (6)'!$B12,Logs!$A$2:$A$500,0)),"")</f>
        <v>Naome</v>
      </c>
      <c r="D12" s="166" t="str">
        <f>IFERROR(INDEX(Logs!$C$2:$C$500,MATCH('Beneficiaries (6)'!$B12,Logs!$A$2:$A$500,0)),"")</f>
        <v>Monyane</v>
      </c>
      <c r="E12" s="167" t="str">
        <f>IFERROR(INDEX(Logs!$D$2:$D$500,MATCH('Beneficiaries (6)'!$B12,Logs!$A$2:$A$500,0)),"")</f>
        <v>8708071255087</v>
      </c>
      <c r="F12" s="168" t="s">
        <v>125</v>
      </c>
      <c r="G12" s="165" t="str">
        <f>TheGender(E12)</f>
        <v>F</v>
      </c>
      <c r="H12" s="165" t="s">
        <v>125</v>
      </c>
      <c r="I12" s="165" t="s">
        <v>126</v>
      </c>
      <c r="J12" s="165" t="str">
        <f>IFERROR(INDEX(Logs!$E$2:$E$500,MATCH('Beneficiaries (6)'!$B12,Logs!$A$2:$A$500,0)),"")</f>
        <v>15/05/0014</v>
      </c>
      <c r="K12" s="165" t="str">
        <f>IFERROR(INDEX(Logs!$F$2:$F$500,MATCH('Beneficiaries (6)'!$B12,Logs!$A$2:$A$500,0)),"")</f>
        <v>15/05/0036</v>
      </c>
      <c r="L12" s="165">
        <f>IFERROR(INDEX(Logs!$G$2:$G$500,MATCH('Beneficiaries (6)'!$B12,Logs!$A$2:$A$500,0)),0)</f>
        <v>22</v>
      </c>
      <c r="M12" s="165">
        <v>0</v>
      </c>
      <c r="N12" s="165">
        <f>L12+M12</f>
        <v>22</v>
      </c>
      <c r="O12" s="171">
        <f>IFERROR(INDEX(Logs!$H$2:$H$500,MATCH('Beneficiaries (6)'!$B12,Logs!$A$2:$A$500,0)),)</f>
        <v>204.16</v>
      </c>
      <c r="P12" s="172">
        <f>IFERROR(N12*O12,0)</f>
        <v>4491.5199999999995</v>
      </c>
      <c r="Q12" s="173"/>
      <c r="R12" s="11">
        <f>IF('Beneficiaries (12)'!$P$30&gt;0,1,"")</f>
        <v>1</v>
      </c>
    </row>
    <row r="13">
      <c r="A13" s="144" t="str">
        <f>ID_Valid(E13)</f>
      </c>
      <c r="B13" s="165">
        <v>104</v>
      </c>
      <c r="C13" s="166" t="str">
        <f>IFERROR(INDEX(Logs!$B$2:$B$500,MATCH('Beneficiaries (6)'!$B13,Logs!$A$2:$A$500,0)),"")</f>
        <v>Likenkeng</v>
      </c>
      <c r="D13" s="166" t="str">
        <f>IFERROR(INDEX(Logs!$C$2:$C$500,MATCH('Beneficiaries (6)'!$B13,Logs!$A$2:$A$500,0)),"")</f>
        <v>Ntsie</v>
      </c>
      <c r="E13" s="167" t="str">
        <f>IFERROR(INDEX(Logs!$D$2:$D$500,MATCH('Beneficiaries (6)'!$B13,Logs!$A$2:$A$500,0)),"")</f>
        <v>8209120712087</v>
      </c>
      <c r="F13" s="168" t="s">
        <v>125</v>
      </c>
      <c r="G13" s="165" t="str">
        <f>TheGender(E13)</f>
        <v>F</v>
      </c>
      <c r="H13" s="165" t="s">
        <v>125</v>
      </c>
      <c r="I13" s="165" t="s">
        <v>126</v>
      </c>
      <c r="J13" s="165" t="str">
        <f>IFERROR(INDEX(Logs!$E$2:$E$500,MATCH('Beneficiaries (6)'!$B13,Logs!$A$2:$A$500,0)),"")</f>
        <v>15/05/0014</v>
      </c>
      <c r="K13" s="165" t="str">
        <f>IFERROR(INDEX(Logs!$F$2:$F$500,MATCH('Beneficiaries (6)'!$B13,Logs!$A$2:$A$500,0)),"")</f>
        <v>15/05/0036</v>
      </c>
      <c r="L13" s="165">
        <f>IFERROR(INDEX(Logs!$G$2:$G$500,MATCH('Beneficiaries (6)'!$B13,Logs!$A$2:$A$500,0)),0)</f>
        <v>22</v>
      </c>
      <c r="M13" s="165">
        <v>0</v>
      </c>
      <c r="N13" s="165">
        <f>L13+M13</f>
        <v>22</v>
      </c>
      <c r="O13" s="171">
        <f>IFERROR(INDEX(Logs!$H$2:$H$500,MATCH('Beneficiaries (6)'!$B13,Logs!$A$2:$A$500,0)),)</f>
        <v>204.16</v>
      </c>
      <c r="P13" s="172">
        <f>IFERROR(N13*O13,0)</f>
        <v>4491.5199999999995</v>
      </c>
      <c r="Q13" s="173"/>
      <c r="R13" s="11">
        <f>IF('Beneficiaries (13)'!$P$30&gt;0,1,"")</f>
        <v>1</v>
      </c>
    </row>
    <row r="14">
      <c r="A14" s="144" t="str">
        <f>ID_Valid(E14)</f>
      </c>
      <c r="B14" s="165">
        <v>105</v>
      </c>
      <c r="C14" s="166" t="str">
        <f>IFERROR(INDEX(Logs!$B$2:$B$500,MATCH('Beneficiaries (6)'!$B14,Logs!$A$2:$A$500,0)),"")</f>
        <v>Lindiwe</v>
      </c>
      <c r="D14" s="166" t="str">
        <f>IFERROR(INDEX(Logs!$C$2:$C$500,MATCH('Beneficiaries (6)'!$B14,Logs!$A$2:$A$500,0)),"")</f>
        <v>Ndyiba</v>
      </c>
      <c r="E14" s="167" t="str">
        <f>IFERROR(INDEX(Logs!$D$2:$D$500,MATCH('Beneficiaries (6)'!$B14,Logs!$A$2:$A$500,0)),"")</f>
        <v>7309240718088</v>
      </c>
      <c r="F14" s="168" t="s">
        <v>125</v>
      </c>
      <c r="G14" s="165" t="str">
        <f>TheGender(E14)</f>
        <v>F</v>
      </c>
      <c r="H14" s="165" t="s">
        <v>125</v>
      </c>
      <c r="I14" s="165" t="s">
        <v>126</v>
      </c>
      <c r="J14" s="165" t="str">
        <f>IFERROR(INDEX(Logs!$E$2:$E$500,MATCH('Beneficiaries (6)'!$B14,Logs!$A$2:$A$500,0)),"")</f>
        <v>15/05/0014</v>
      </c>
      <c r="K14" s="165" t="str">
        <f>IFERROR(INDEX(Logs!$F$2:$F$500,MATCH('Beneficiaries (6)'!$B14,Logs!$A$2:$A$500,0)),"")</f>
        <v>15/05/0036</v>
      </c>
      <c r="L14" s="165">
        <f>IFERROR(INDEX(Logs!$G$2:$G$500,MATCH('Beneficiaries (6)'!$B14,Logs!$A$2:$A$500,0)),0)</f>
        <v>22</v>
      </c>
      <c r="M14" s="165">
        <v>0</v>
      </c>
      <c r="N14" s="165">
        <f>L14+M14</f>
        <v>22</v>
      </c>
      <c r="O14" s="171">
        <f>IFERROR(INDEX(Logs!$H$2:$H$500,MATCH('Beneficiaries (6)'!$B14,Logs!$A$2:$A$500,0)),)</f>
        <v>204.16</v>
      </c>
      <c r="P14" s="172">
        <f>IFERROR(N14*O14,0)</f>
        <v>4491.5199999999995</v>
      </c>
      <c r="Q14" s="173"/>
      <c r="R14" s="11">
        <f>IF('Beneficiaries (14)'!$P$30&gt;0,1,"")</f>
        <v>1</v>
      </c>
    </row>
    <row r="15">
      <c r="A15" s="144" t="str">
        <f>ID_Valid(E15)</f>
      </c>
      <c r="B15" s="165">
        <v>106</v>
      </c>
      <c r="C15" s="166" t="str">
        <f>IFERROR(INDEX(Logs!$B$2:$B$500,MATCH('Beneficiaries (6)'!$B15,Logs!$A$2:$A$500,0)),"")</f>
        <v>Nokulunga</v>
      </c>
      <c r="D15" s="166" t="str">
        <f>IFERROR(INDEX(Logs!$C$2:$C$500,MATCH('Beneficiaries (6)'!$B15,Logs!$A$2:$A$500,0)),"")</f>
        <v>Mrubata</v>
      </c>
      <c r="E15" s="167" t="str">
        <f>IFERROR(INDEX(Logs!$D$2:$D$500,MATCH('Beneficiaries (6)'!$B15,Logs!$A$2:$A$500,0)),"")</f>
        <v>8604040387087</v>
      </c>
      <c r="F15" s="168" t="s">
        <v>125</v>
      </c>
      <c r="G15" s="165" t="str">
        <f>TheGender(E15)</f>
        <v>F</v>
      </c>
      <c r="H15" s="165" t="s">
        <v>125</v>
      </c>
      <c r="I15" s="165" t="s">
        <v>126</v>
      </c>
      <c r="J15" s="165" t="str">
        <f>IFERROR(INDEX(Logs!$E$2:$E$500,MATCH('Beneficiaries (6)'!$B15,Logs!$A$2:$A$500,0)),"")</f>
        <v>15/05/0014</v>
      </c>
      <c r="K15" s="165" t="str">
        <f>IFERROR(INDEX(Logs!$F$2:$F$500,MATCH('Beneficiaries (6)'!$B15,Logs!$A$2:$A$500,0)),"")</f>
        <v>15/05/0036</v>
      </c>
      <c r="L15" s="165">
        <f>IFERROR(INDEX(Logs!$G$2:$G$500,MATCH('Beneficiaries (6)'!$B15,Logs!$A$2:$A$500,0)),0)</f>
        <v>22</v>
      </c>
      <c r="M15" s="165">
        <v>0</v>
      </c>
      <c r="N15" s="165">
        <f>L15+M15</f>
        <v>22</v>
      </c>
      <c r="O15" s="171">
        <f>IFERROR(INDEX(Logs!$H$2:$H$500,MATCH('Beneficiaries (6)'!$B15,Logs!$A$2:$A$500,0)),)</f>
        <v>204.16</v>
      </c>
      <c r="P15" s="172">
        <f>IFERROR(N15*O15,0)</f>
        <v>4491.5199999999995</v>
      </c>
      <c r="Q15" s="173"/>
      <c r="R15" s="11"/>
    </row>
    <row r="16">
      <c r="A16" s="144" t="str">
        <f>ID_Valid(E16)</f>
      </c>
      <c r="B16" s="165">
        <v>107</v>
      </c>
      <c r="C16" s="166" t="str">
        <f>IFERROR(INDEX(Logs!$B$2:$B$500,MATCH('Beneficiaries (6)'!$B16,Logs!$A$2:$A$500,0)),"")</f>
        <v>Thandiwe</v>
      </c>
      <c r="D16" s="166" t="str">
        <f>IFERROR(INDEX(Logs!$C$2:$C$500,MATCH('Beneficiaries (6)'!$B16,Logs!$A$2:$A$500,0)),"")</f>
        <v>Swelenkomo</v>
      </c>
      <c r="E16" s="167" t="str">
        <f>IFERROR(INDEX(Logs!$D$2:$D$500,MATCH('Beneficiaries (6)'!$B16,Logs!$A$2:$A$500,0)),"")</f>
        <v>8703091393083</v>
      </c>
      <c r="F16" s="168" t="s">
        <v>125</v>
      </c>
      <c r="G16" s="165" t="str">
        <f>TheGender(E16)</f>
        <v>F</v>
      </c>
      <c r="H16" s="165" t="s">
        <v>125</v>
      </c>
      <c r="I16" s="165" t="s">
        <v>126</v>
      </c>
      <c r="J16" s="165" t="str">
        <f>IFERROR(INDEX(Logs!$E$2:$E$500,MATCH('Beneficiaries (6)'!$B16,Logs!$A$2:$A$500,0)),"")</f>
        <v>15/05/0014</v>
      </c>
      <c r="K16" s="165" t="str">
        <f>IFERROR(INDEX(Logs!$F$2:$F$500,MATCH('Beneficiaries (6)'!$B16,Logs!$A$2:$A$500,0)),"")</f>
        <v>15/05/0036</v>
      </c>
      <c r="L16" s="165">
        <f>IFERROR(INDEX(Logs!$G$2:$G$500,MATCH('Beneficiaries (6)'!$B16,Logs!$A$2:$A$500,0)),0)</f>
        <v>22</v>
      </c>
      <c r="M16" s="165">
        <v>0</v>
      </c>
      <c r="N16" s="165">
        <f>L16+M16</f>
        <v>22</v>
      </c>
      <c r="O16" s="171">
        <f>IFERROR(INDEX(Logs!$H$2:$H$500,MATCH('Beneficiaries (6)'!$B16,Logs!$A$2:$A$500,0)),)</f>
        <v>204.16</v>
      </c>
      <c r="P16" s="172">
        <f>IFERROR(N16*O16,0)</f>
        <v>4491.5199999999995</v>
      </c>
      <c r="Q16" s="173"/>
      <c r="R16" s="11"/>
    </row>
    <row r="17">
      <c r="A17" s="144" t="str">
        <f>ID_Valid(E17)</f>
      </c>
      <c r="B17" s="165">
        <v>108</v>
      </c>
      <c r="C17" s="166" t="str">
        <f>IFERROR(INDEX(Logs!$B$2:$B$500,MATCH('Beneficiaries (6)'!$B17,Logs!$A$2:$A$500,0)),"")</f>
        <v>Dimakatso</v>
      </c>
      <c r="D17" s="166" t="str">
        <f>IFERROR(INDEX(Logs!$C$2:$C$500,MATCH('Beneficiaries (6)'!$B17,Logs!$A$2:$A$500,0)),"")</f>
        <v>Ngubo</v>
      </c>
      <c r="E17" s="167" t="str">
        <f>IFERROR(INDEX(Logs!$D$2:$D$500,MATCH('Beneficiaries (6)'!$B17,Logs!$A$2:$A$500,0)),"")</f>
        <v>8302181060080</v>
      </c>
      <c r="F17" s="168" t="s">
        <v>125</v>
      </c>
      <c r="G17" s="165" t="str">
        <f>TheGender(E17)</f>
        <v>F</v>
      </c>
      <c r="H17" s="165" t="s">
        <v>125</v>
      </c>
      <c r="I17" s="165" t="s">
        <v>126</v>
      </c>
      <c r="J17" s="165" t="str">
        <f>IFERROR(INDEX(Logs!$E$2:$E$500,MATCH('Beneficiaries (6)'!$B17,Logs!$A$2:$A$500,0)),"")</f>
        <v>15/05/0014</v>
      </c>
      <c r="K17" s="165" t="str">
        <f>IFERROR(INDEX(Logs!$F$2:$F$500,MATCH('Beneficiaries (6)'!$B17,Logs!$A$2:$A$500,0)),"")</f>
        <v>15/05/0036</v>
      </c>
      <c r="L17" s="165">
        <f>IFERROR(INDEX(Logs!$G$2:$G$500,MATCH('Beneficiaries (6)'!$B17,Logs!$A$2:$A$500,0)),0)</f>
        <v>22</v>
      </c>
      <c r="M17" s="165">
        <v>0</v>
      </c>
      <c r="N17" s="165">
        <f>L17+M17</f>
        <v>22</v>
      </c>
      <c r="O17" s="171">
        <f>IFERROR(INDEX(Logs!$H$2:$H$500,MATCH('Beneficiaries (6)'!$B17,Logs!$A$2:$A$500,0)),)</f>
        <v>204.16</v>
      </c>
      <c r="P17" s="172">
        <f>IFERROR(N17*O17,0)</f>
        <v>4491.5199999999995</v>
      </c>
      <c r="Q17" s="173"/>
      <c r="R17" s="11"/>
    </row>
    <row r="18">
      <c r="A18" s="144" t="str">
        <f>ID_Valid(E18)</f>
      </c>
      <c r="B18" s="165">
        <v>109</v>
      </c>
      <c r="C18" s="166" t="str">
        <f>IFERROR(INDEX(Logs!$B$2:$B$500,MATCH('Beneficiaries (6)'!$B18,Logs!$A$2:$A$500,0)),"")</f>
        <v>Nombuyiselo</v>
      </c>
      <c r="D18" s="166" t="str">
        <f>IFERROR(INDEX(Logs!$C$2:$C$500,MATCH('Beneficiaries (6)'!$B18,Logs!$A$2:$A$500,0)),"")</f>
        <v>Dyosi</v>
      </c>
      <c r="E18" s="167" t="str">
        <f>IFERROR(INDEX(Logs!$D$2:$D$500,MATCH('Beneficiaries (6)'!$B18,Logs!$A$2:$A$500,0)),"")</f>
        <v>7601190646081</v>
      </c>
      <c r="F18" s="168" t="s">
        <v>125</v>
      </c>
      <c r="G18" s="165" t="str">
        <f>TheGender(E18)</f>
        <v>F</v>
      </c>
      <c r="H18" s="165" t="s">
        <v>125</v>
      </c>
      <c r="I18" s="165" t="s">
        <v>126</v>
      </c>
      <c r="J18" s="165" t="str">
        <f>IFERROR(INDEX(Logs!$E$2:$E$500,MATCH('Beneficiaries (6)'!$B18,Logs!$A$2:$A$500,0)),"")</f>
        <v>15/05/0014</v>
      </c>
      <c r="K18" s="165" t="str">
        <f>IFERROR(INDEX(Logs!$F$2:$F$500,MATCH('Beneficiaries (6)'!$B18,Logs!$A$2:$A$500,0)),"")</f>
        <v>15/05/0036</v>
      </c>
      <c r="L18" s="165">
        <f>IFERROR(INDEX(Logs!$G$2:$G$500,MATCH('Beneficiaries (6)'!$B18,Logs!$A$2:$A$500,0)),0)</f>
        <v>22</v>
      </c>
      <c r="M18" s="165">
        <v>0</v>
      </c>
      <c r="N18" s="165">
        <f>L18+M18</f>
        <v>22</v>
      </c>
      <c r="O18" s="171">
        <f>IFERROR(INDEX(Logs!$H$2:$H$500,MATCH('Beneficiaries (6)'!$B18,Logs!$A$2:$A$500,0)),)</f>
        <v>204.16</v>
      </c>
      <c r="P18" s="172">
        <f>IFERROR(N18*O18,0)</f>
        <v>4491.5199999999995</v>
      </c>
      <c r="Q18" s="173"/>
      <c r="R18" s="11"/>
    </row>
    <row r="19">
      <c r="A19" s="144" t="str">
        <f>ID_Valid(E19)</f>
      </c>
      <c r="B19" s="165">
        <v>110</v>
      </c>
      <c r="C19" s="166" t="str">
        <f>IFERROR(INDEX(Logs!$B$2:$B$500,MATCH('Beneficiaries (6)'!$B19,Logs!$A$2:$A$500,0)),"")</f>
        <v>Mapula</v>
      </c>
      <c r="D19" s="166" t="str">
        <f>IFERROR(INDEX(Logs!$C$2:$C$500,MATCH('Beneficiaries (6)'!$B19,Logs!$A$2:$A$500,0)),"")</f>
        <v>Lehata</v>
      </c>
      <c r="E19" s="167" t="str">
        <f>IFERROR(INDEX(Logs!$D$2:$D$500,MATCH('Beneficiaries (6)'!$B19,Logs!$A$2:$A$500,0)),"")</f>
        <v>8711010779084</v>
      </c>
      <c r="F19" s="168" t="s">
        <v>125</v>
      </c>
      <c r="G19" s="165" t="str">
        <f>TheGender(E19)</f>
        <v>F</v>
      </c>
      <c r="H19" s="165" t="s">
        <v>125</v>
      </c>
      <c r="I19" s="165" t="s">
        <v>126</v>
      </c>
      <c r="J19" s="165" t="str">
        <f>IFERROR(INDEX(Logs!$E$2:$E$500,MATCH('Beneficiaries (6)'!$B19,Logs!$A$2:$A$500,0)),"")</f>
        <v>15/05/0014</v>
      </c>
      <c r="K19" s="165" t="str">
        <f>IFERROR(INDEX(Logs!$F$2:$F$500,MATCH('Beneficiaries (6)'!$B19,Logs!$A$2:$A$500,0)),"")</f>
        <v>15/05/0036</v>
      </c>
      <c r="L19" s="165">
        <f>IFERROR(INDEX(Logs!$G$2:$G$500,MATCH('Beneficiaries (6)'!$B19,Logs!$A$2:$A$500,0)),0)</f>
        <v>22</v>
      </c>
      <c r="M19" s="165">
        <v>0</v>
      </c>
      <c r="N19" s="165">
        <f>L19+M19</f>
        <v>22</v>
      </c>
      <c r="O19" s="171">
        <f>IFERROR(INDEX(Logs!$H$2:$H$500,MATCH('Beneficiaries (6)'!$B19,Logs!$A$2:$A$500,0)),)</f>
        <v>204.16</v>
      </c>
      <c r="P19" s="172">
        <f>IFERROR(N19*O19,0)</f>
        <v>4491.5199999999995</v>
      </c>
      <c r="Q19" s="173"/>
      <c r="R19" s="11"/>
    </row>
    <row r="20">
      <c r="A20" s="144" t="str">
        <f>ID_Valid(E20)</f>
      </c>
      <c r="B20" s="165">
        <v>111</v>
      </c>
      <c r="C20" s="166" t="str">
        <f>IFERROR(INDEX(Logs!$B$2:$B$500,MATCH('Beneficiaries (6)'!$B20,Logs!$A$2:$A$500,0)),"")</f>
        <v>Keneuoe</v>
      </c>
      <c r="D20" s="166" t="str">
        <f>IFERROR(INDEX(Logs!$C$2:$C$500,MATCH('Beneficiaries (6)'!$B20,Logs!$A$2:$A$500,0)),"")</f>
        <v>Sello-Ngcwangu</v>
      </c>
      <c r="E20" s="167" t="str">
        <f>IFERROR(INDEX(Logs!$D$2:$D$500,MATCH('Beneficiaries (6)'!$B20,Logs!$A$2:$A$500,0)),"")</f>
        <v>9507081134087</v>
      </c>
      <c r="F20" s="168" t="s">
        <v>125</v>
      </c>
      <c r="G20" s="165" t="str">
        <f>TheGender(E20)</f>
        <v>F</v>
      </c>
      <c r="H20" s="165" t="s">
        <v>125</v>
      </c>
      <c r="I20" s="165" t="s">
        <v>126</v>
      </c>
      <c r="J20" s="165" t="str">
        <f>IFERROR(INDEX(Logs!$E$2:$E$500,MATCH('Beneficiaries (6)'!$B20,Logs!$A$2:$A$500,0)),"")</f>
        <v>15/05/0014</v>
      </c>
      <c r="K20" s="165" t="str">
        <f>IFERROR(INDEX(Logs!$F$2:$F$500,MATCH('Beneficiaries (6)'!$B20,Logs!$A$2:$A$500,0)),"")</f>
        <v>15/05/0036</v>
      </c>
      <c r="L20" s="165">
        <f>IFERROR(INDEX(Logs!$G$2:$G$500,MATCH('Beneficiaries (6)'!$B20,Logs!$A$2:$A$500,0)),0)</f>
        <v>22</v>
      </c>
      <c r="M20" s="165">
        <v>0</v>
      </c>
      <c r="N20" s="165">
        <f>L20+M20</f>
        <v>22</v>
      </c>
      <c r="O20" s="171">
        <f>IFERROR(INDEX(Logs!$H$2:$H$500,MATCH('Beneficiaries (6)'!$B20,Logs!$A$2:$A$500,0)),)</f>
        <v>218.08</v>
      </c>
      <c r="P20" s="172">
        <f>IFERROR(N20*O20,0)</f>
        <v>4797.76</v>
      </c>
      <c r="Q20" s="173"/>
      <c r="R20" s="145" t="s"/>
    </row>
    <row r="21">
      <c r="A21" s="144" t="str">
        <f>ID_Valid(E21)</f>
      </c>
      <c r="B21" s="165">
        <v>112</v>
      </c>
      <c r="C21" s="166" t="str">
        <f>IFERROR(INDEX(Logs!$B$2:$B$500,MATCH('Beneficiaries (6)'!$B21,Logs!$A$2:$A$500,0)),"")</f>
        <v>Nosicelo</v>
      </c>
      <c r="D21" s="166" t="str">
        <f>IFERROR(INDEX(Logs!$C$2:$C$500,MATCH('Beneficiaries (6)'!$B21,Logs!$A$2:$A$500,0)),"")</f>
        <v>Cimela</v>
      </c>
      <c r="E21" s="167" t="str">
        <f>IFERROR(INDEX(Logs!$D$2:$D$500,MATCH('Beneficiaries (6)'!$B21,Logs!$A$2:$A$500,0)),"")</f>
        <v>8504200012089</v>
      </c>
      <c r="F21" s="168" t="s">
        <v>125</v>
      </c>
      <c r="G21" s="165" t="str">
        <f>TheGender(E21)</f>
        <v>F</v>
      </c>
      <c r="H21" s="165" t="s">
        <v>125</v>
      </c>
      <c r="I21" s="165" t="s">
        <v>126</v>
      </c>
      <c r="J21" s="165" t="str">
        <f>IFERROR(INDEX(Logs!$E$2:$E$500,MATCH('Beneficiaries (6)'!$B21,Logs!$A$2:$A$500,0)),"")</f>
        <v>15/05/0014</v>
      </c>
      <c r="K21" s="165" t="str">
        <f>IFERROR(INDEX(Logs!$F$2:$F$500,MATCH('Beneficiaries (6)'!$B21,Logs!$A$2:$A$500,0)),"")</f>
        <v>15/05/0036</v>
      </c>
      <c r="L21" s="165">
        <f>IFERROR(INDEX(Logs!$G$2:$G$500,MATCH('Beneficiaries (6)'!$B21,Logs!$A$2:$A$500,0)),0)</f>
        <v>22</v>
      </c>
      <c r="M21" s="165">
        <v>0</v>
      </c>
      <c r="N21" s="165">
        <f>L21+M21</f>
        <v>22</v>
      </c>
      <c r="O21" s="171">
        <f>IFERROR(INDEX(Logs!$H$2:$H$500,MATCH('Beneficiaries (6)'!$B21,Logs!$A$2:$A$500,0)),)</f>
        <v>204.16</v>
      </c>
      <c r="P21" s="172">
        <f>IFERROR(N21*O21,0)</f>
        <v>4491.5199999999995</v>
      </c>
      <c r="Q21" s="173"/>
      <c r="R21" s="145" t="s"/>
    </row>
    <row r="22">
      <c r="A22" s="144" t="str">
        <f>ID_Valid(E22)</f>
      </c>
      <c r="B22" s="165">
        <v>113</v>
      </c>
      <c r="C22" s="174" t="str">
        <f>IFERROR(INDEX(Logs!$B$2:$B$500,MATCH('Beneficiaries (6)'!$B22,Logs!$A$2:$A$500,0)),"")</f>
        <v>Mda</v>
      </c>
      <c r="D22" s="166" t="str">
        <f>IFERROR(INDEX(Logs!$C$2:$C$500,MATCH('Beneficiaries (6)'!$B22,Logs!$A$2:$A$500,0)),"")</f>
        <v>Mavume</v>
      </c>
      <c r="E22" s="167" t="str">
        <f>IFERROR(INDEX(Logs!$D$2:$D$500,MATCH('Beneficiaries (6)'!$B22,Logs!$A$2:$A$500,0)),"")</f>
        <v>8106265722089</v>
      </c>
      <c r="F22" s="168" t="s">
        <v>125</v>
      </c>
      <c r="G22" s="165" t="str">
        <f>TheGender(E22)</f>
        <v>M</v>
      </c>
      <c r="H22" s="165" t="s">
        <v>125</v>
      </c>
      <c r="I22" s="165" t="s">
        <v>126</v>
      </c>
      <c r="J22" s="165" t="str">
        <f>IFERROR(INDEX(Logs!$E$2:$E$500,MATCH('Beneficiaries (6)'!$B22,Logs!$A$2:$A$500,0)),"")</f>
        <v>15/05/0014</v>
      </c>
      <c r="K22" s="165" t="str">
        <f>IFERROR(INDEX(Logs!$F$2:$F$500,MATCH('Beneficiaries (6)'!$B22,Logs!$A$2:$A$500,0)),"")</f>
        <v>15/05/0036</v>
      </c>
      <c r="L22" s="165">
        <f>IFERROR(INDEX(Logs!$G$2:$G$500,MATCH('Beneficiaries (6)'!$B22,Logs!$A$2:$A$500,0)),0)</f>
        <v>22</v>
      </c>
      <c r="M22" s="165">
        <v>0</v>
      </c>
      <c r="N22" s="165">
        <f>L22+M22</f>
        <v>22</v>
      </c>
      <c r="O22" s="171">
        <f>IFERROR(INDEX(Logs!$H$2:$H$500,MATCH('Beneficiaries (6)'!$B22,Logs!$A$2:$A$500,0)),)</f>
        <v>204.16</v>
      </c>
      <c r="P22" s="172">
        <f>IFERROR(N22*O22,0)</f>
        <v>4491.5199999999995</v>
      </c>
      <c r="Q22" s="173"/>
      <c r="R22" s="145" t="s"/>
    </row>
    <row r="23">
      <c r="A23" s="144" t="str">
        <f>ID_Valid(E23)</f>
      </c>
      <c r="B23" s="165">
        <v>114</v>
      </c>
      <c r="C23" s="174" t="str">
        <f>IFERROR(INDEX(Logs!$B$2:$B$500,MATCH('Beneficiaries (6)'!$B23,Logs!$A$2:$A$500,0)),"")</f>
        <v>Siphe</v>
      </c>
      <c r="D23" s="166" t="str">
        <f>IFERROR(INDEX(Logs!$C$2:$C$500,MATCH('Beneficiaries (6)'!$B23,Logs!$A$2:$A$500,0)),"")</f>
        <v>Gevenga</v>
      </c>
      <c r="E23" s="167" t="str">
        <f>IFERROR(INDEX(Logs!$D$2:$D$500,MATCH('Beneficiaries (6)'!$B23,Logs!$A$2:$A$500,0)),"")</f>
        <v>8905106277082</v>
      </c>
      <c r="F23" s="168" t="s">
        <v>125</v>
      </c>
      <c r="G23" s="165" t="str">
        <f>TheGender(E23)</f>
        <v>M</v>
      </c>
      <c r="H23" s="165" t="s">
        <v>125</v>
      </c>
      <c r="I23" s="165" t="s">
        <v>126</v>
      </c>
      <c r="J23" s="165" t="str">
        <f>IFERROR(INDEX(Logs!$E$2:$E$500,MATCH('Beneficiaries (6)'!$B23,Logs!$A$2:$A$500,0)),"")</f>
        <v>15/05/0010</v>
      </c>
      <c r="K23" s="165" t="str">
        <f>IFERROR(INDEX(Logs!$F$2:$F$500,MATCH('Beneficiaries (6)'!$B23,Logs!$A$2:$A$500,0)),"")</f>
        <v>15/05/0036</v>
      </c>
      <c r="L23" s="165">
        <f>IFERROR(INDEX(Logs!$G$2:$G$500,MATCH('Beneficiaries (6)'!$B23,Logs!$A$2:$A$500,0)),0)</f>
        <v>22</v>
      </c>
      <c r="M23" s="165">
        <v>0</v>
      </c>
      <c r="N23" s="165">
        <f>L23+M23</f>
        <v>22</v>
      </c>
      <c r="O23" s="171">
        <f>IFERROR(INDEX(Logs!$H$2:$H$500,MATCH('Beneficiaries (6)'!$B23,Logs!$A$2:$A$500,0)),)</f>
        <v>218.08</v>
      </c>
      <c r="P23" s="172">
        <f>IFERROR(N23*O23,0)</f>
        <v>4797.76</v>
      </c>
      <c r="Q23" s="173"/>
      <c r="R23" s="145" t="s"/>
    </row>
    <row r="24">
      <c r="A24" s="144" t="str">
        <f>ID_Valid(E24)</f>
      </c>
      <c r="B24" s="165">
        <v>115</v>
      </c>
      <c r="C24" s="174" t="str">
        <f>IFERROR(INDEX(Logs!$B$2:$B$500,MATCH('Beneficiaries (6)'!$B24,Logs!$A$2:$A$500,0)),"")</f>
        <v>Nokuzola</v>
      </c>
      <c r="D24" s="166" t="str">
        <f>IFERROR(INDEX(Logs!$C$2:$C$500,MATCH('Beneficiaries (6)'!$B24,Logs!$A$2:$A$500,0)),"")</f>
        <v>Gubudu</v>
      </c>
      <c r="E24" s="167" t="str">
        <f>IFERROR(INDEX(Logs!$D$2:$D$500,MATCH('Beneficiaries (6)'!$B24,Logs!$A$2:$A$500,0)),"")</f>
        <v>7004150822083</v>
      </c>
      <c r="F24" s="168" t="s">
        <v>125</v>
      </c>
      <c r="G24" s="165" t="str">
        <f>TheGender(E24)</f>
        <v>F</v>
      </c>
      <c r="H24" s="165" t="s">
        <v>125</v>
      </c>
      <c r="I24" s="165" t="s">
        <v>126</v>
      </c>
      <c r="J24" s="165" t="str">
        <f>IFERROR(INDEX(Logs!$E$2:$E$500,MATCH('Beneficiaries (6)'!$B24,Logs!$A$2:$A$500,0)),"")</f>
        <v>14/06/0007</v>
      </c>
      <c r="K24" s="165" t="str">
        <f>IFERROR(INDEX(Logs!$F$2:$F$500,MATCH('Beneficiaries (6)'!$B24,Logs!$A$2:$A$500,0)),"")</f>
        <v>15/05/0036</v>
      </c>
      <c r="L24" s="165">
        <f>IFERROR(INDEX(Logs!$G$2:$G$500,MATCH('Beneficiaries (6)'!$B24,Logs!$A$2:$A$500,0)),0)</f>
        <v>22</v>
      </c>
      <c r="M24" s="165">
        <v>0</v>
      </c>
      <c r="N24" s="165">
        <f>L24+M24</f>
        <v>22</v>
      </c>
      <c r="O24" s="171">
        <f>IFERROR(INDEX(Logs!$H$2:$H$500,MATCH('Beneficiaries (6)'!$B24,Logs!$A$2:$A$500,0)),)</f>
        <v>204.16</v>
      </c>
      <c r="P24" s="172">
        <f>IFERROR(N24*O24,0)</f>
        <v>4491.5199999999995</v>
      </c>
      <c r="Q24" s="173"/>
      <c r="R24" s="145" t="s"/>
    </row>
    <row r="25">
      <c r="A25" s="144" t="str">
        <f>ID_Valid(E25)</f>
      </c>
      <c r="B25" s="165">
        <v>116</v>
      </c>
      <c r="C25" s="170" t="str">
        <f>IFERROR(INDEX(Logs!$B$2:$B$500,MATCH('Beneficiaries (6)'!$B25,Logs!$A$2:$A$500,0)),"")</f>
        <v>Zandiswa</v>
      </c>
      <c r="D25" s="166" t="str">
        <f>IFERROR(INDEX(Logs!$C$2:$C$500,MATCH('Beneficiaries (6)'!$B25,Logs!$A$2:$A$500,0)),"")</f>
        <v>Giwantsha</v>
      </c>
      <c r="E25" s="167" t="str">
        <f>IFERROR(INDEX(Logs!$D$2:$D$500,MATCH('Beneficiaries (6)'!$B25,Logs!$A$2:$A$500,0)),"")</f>
        <v>8608151327089</v>
      </c>
      <c r="F25" s="168" t="s">
        <v>125</v>
      </c>
      <c r="G25" s="165" t="str">
        <f>TheGender(E25)</f>
        <v>F</v>
      </c>
      <c r="H25" s="165" t="s">
        <v>125</v>
      </c>
      <c r="I25" s="165" t="s">
        <v>126</v>
      </c>
      <c r="J25" s="165" t="str">
        <f>IFERROR(INDEX(Logs!$E$2:$E$500,MATCH('Beneficiaries (6)'!$B25,Logs!$A$2:$A$500,0)),"")</f>
        <v>14/06/0007</v>
      </c>
      <c r="K25" s="165" t="str">
        <f>IFERROR(INDEX(Logs!$F$2:$F$500,MATCH('Beneficiaries (6)'!$B25,Logs!$A$2:$A$500,0)),"")</f>
        <v>15/05/0036</v>
      </c>
      <c r="L25" s="165">
        <f>IFERROR(INDEX(Logs!$G$2:$G$500,MATCH('Beneficiaries (6)'!$B25,Logs!$A$2:$A$500,0)),0)</f>
        <v>22</v>
      </c>
      <c r="M25" s="165">
        <v>0</v>
      </c>
      <c r="N25" s="165">
        <f>L25+M25</f>
        <v>22</v>
      </c>
      <c r="O25" s="171">
        <f>IFERROR(INDEX(Logs!$H$2:$H$500,MATCH('Beneficiaries (6)'!$B25,Logs!$A$2:$A$500,0)),)</f>
        <v>204.16</v>
      </c>
      <c r="P25" s="172">
        <f>IFERROR(N25*O25,0)</f>
        <v>4491.5199999999995</v>
      </c>
      <c r="Q25" s="173"/>
      <c r="R25" s="145" t="s"/>
    </row>
    <row r="26">
      <c r="A26" s="144" t="str">
        <f>ID_Valid(E26)</f>
      </c>
      <c r="B26" s="165">
        <v>117</v>
      </c>
      <c r="C26" s="170" t="str">
        <f>IFERROR(INDEX(Logs!$B$2:$B$500,MATCH('Beneficiaries (6)'!$B26,Logs!$A$2:$A$500,0)),"")</f>
        <v>Zuzeka</v>
      </c>
      <c r="D26" s="166" t="str">
        <f>IFERROR(INDEX(Logs!$C$2:$C$500,MATCH('Beneficiaries (6)'!$B26,Logs!$A$2:$A$500,0)),"")</f>
        <v>Mpoba-Jezile</v>
      </c>
      <c r="E26" s="167" t="str">
        <f>IFERROR(INDEX(Logs!$D$2:$D$500,MATCH('Beneficiaries (6)'!$B26,Logs!$A$2:$A$500,0)),"")</f>
        <v>7806161089084</v>
      </c>
      <c r="F26" s="168" t="s">
        <v>125</v>
      </c>
      <c r="G26" s="165" t="str">
        <f>TheGender(E26)</f>
        <v>F</v>
      </c>
      <c r="H26" s="165" t="s">
        <v>125</v>
      </c>
      <c r="I26" s="165" t="s">
        <v>126</v>
      </c>
      <c r="J26" s="165" t="str">
        <f>IFERROR(INDEX(Logs!$E$2:$E$500,MATCH('Beneficiaries (6)'!$B26,Logs!$A$2:$A$500,0)),"")</f>
        <v>14/06/0007</v>
      </c>
      <c r="K26" s="165" t="str">
        <f>IFERROR(INDEX(Logs!$F$2:$F$500,MATCH('Beneficiaries (6)'!$B26,Logs!$A$2:$A$500,0)),"")</f>
        <v>15/05/0036</v>
      </c>
      <c r="L26" s="165">
        <f>IFERROR(INDEX(Logs!$G$2:$G$500,MATCH('Beneficiaries (6)'!$B26,Logs!$A$2:$A$500,0)),0)</f>
        <v>22</v>
      </c>
      <c r="M26" s="165">
        <v>0</v>
      </c>
      <c r="N26" s="165">
        <f>L26+M26</f>
        <v>22</v>
      </c>
      <c r="O26" s="171">
        <f>IFERROR(INDEX(Logs!$H$2:$H$500,MATCH('Beneficiaries (6)'!$B26,Logs!$A$2:$A$500,0)),)</f>
        <v>204.16</v>
      </c>
      <c r="P26" s="172">
        <f>IFERROR(N26*O26,0)</f>
        <v>4491.5199999999995</v>
      </c>
      <c r="Q26" s="173"/>
      <c r="R26" s="145" t="s"/>
    </row>
    <row r="27">
      <c r="A27" s="144" t="str">
        <f>ID_Valid(E27)</f>
      </c>
      <c r="B27" s="165">
        <v>118</v>
      </c>
      <c r="C27" s="170" t="str">
        <f>IFERROR(INDEX(Logs!$B$2:$B$500,MATCH('Beneficiaries (6)'!$B27,Logs!$A$2:$A$500,0)),"")</f>
        <v>Phumeza</v>
      </c>
      <c r="D27" s="166" t="str">
        <f>IFERROR(INDEX(Logs!$C$2:$C$500,MATCH('Beneficiaries (6)'!$B27,Logs!$A$2:$A$500,0)),"")</f>
        <v>Siko</v>
      </c>
      <c r="E27" s="167" t="str">
        <f>IFERROR(INDEX(Logs!$D$2:$D$500,MATCH('Beneficiaries (6)'!$B27,Logs!$A$2:$A$500,0)),"")</f>
        <v>7909151214082</v>
      </c>
      <c r="F27" s="168" t="s">
        <v>125</v>
      </c>
      <c r="G27" s="165" t="str">
        <f>TheGender(E27)</f>
        <v>F</v>
      </c>
      <c r="H27" s="165" t="s">
        <v>125</v>
      </c>
      <c r="I27" s="165" t="s">
        <v>126</v>
      </c>
      <c r="J27" s="165" t="str">
        <f>IFERROR(INDEX(Logs!$E$2:$E$500,MATCH('Beneficiaries (6)'!$B27,Logs!$A$2:$A$500,0)),"")</f>
        <v>14/06/0007</v>
      </c>
      <c r="K27" s="165" t="str">
        <f>IFERROR(INDEX(Logs!$F$2:$F$500,MATCH('Beneficiaries (6)'!$B27,Logs!$A$2:$A$500,0)),"")</f>
        <v>15/05/0036</v>
      </c>
      <c r="L27" s="165">
        <f>IFERROR(INDEX(Logs!$G$2:$G$500,MATCH('Beneficiaries (6)'!$B27,Logs!$A$2:$A$500,0)),0)</f>
        <v>22</v>
      </c>
      <c r="M27" s="165">
        <v>0</v>
      </c>
      <c r="N27" s="165">
        <f>L27+M27</f>
        <v>22</v>
      </c>
      <c r="O27" s="171">
        <f>IFERROR(INDEX(Logs!$H$2:$H$500,MATCH('Beneficiaries (6)'!$B27,Logs!$A$2:$A$500,0)),)</f>
        <v>204.16</v>
      </c>
      <c r="P27" s="172">
        <f>IFERROR(N27*O27,0)</f>
        <v>4491.5199999999995</v>
      </c>
      <c r="Q27" s="173"/>
      <c r="R27" s="145" t="s"/>
    </row>
    <row r="28">
      <c r="A28" s="144" t="str">
        <f>ID_Valid(E28)</f>
      </c>
      <c r="B28" s="165">
        <v>119</v>
      </c>
      <c r="C28" s="170" t="str">
        <f>IFERROR(INDEX(Logs!$B$2:$B$500,MATCH('Beneficiaries (6)'!$B28,Logs!$A$2:$A$500,0)),"")</f>
        <v>Nondumiso</v>
      </c>
      <c r="D28" s="166" t="str">
        <f>IFERROR(INDEX(Logs!$C$2:$C$500,MATCH('Beneficiaries (6)'!$B28,Logs!$A$2:$A$500,0)),"")</f>
        <v>Mdawe</v>
      </c>
      <c r="E28" s="167" t="str">
        <f>IFERROR(INDEX(Logs!$D$2:$D$500,MATCH('Beneficiaries (6)'!$B28,Logs!$A$2:$A$500,0)),"")</f>
        <v>7511040182080</v>
      </c>
      <c r="F28" s="168" t="s">
        <v>125</v>
      </c>
      <c r="G28" s="165" t="str">
        <f>TheGender(E28)</f>
        <v>F</v>
      </c>
      <c r="H28" s="165" t="s">
        <v>125</v>
      </c>
      <c r="I28" s="165" t="s">
        <v>126</v>
      </c>
      <c r="J28" s="165" t="str">
        <f>IFERROR(INDEX(Logs!$E$2:$E$500,MATCH('Beneficiaries (6)'!$B28,Logs!$A$2:$A$500,0)),"")</f>
        <v>14/06/0007</v>
      </c>
      <c r="K28" s="165" t="str">
        <f>IFERROR(INDEX(Logs!$F$2:$F$500,MATCH('Beneficiaries (6)'!$B28,Logs!$A$2:$A$500,0)),"")</f>
        <v>15/05/0036</v>
      </c>
      <c r="L28" s="165">
        <f>IFERROR(INDEX(Logs!$G$2:$G$500,MATCH('Beneficiaries (6)'!$B28,Logs!$A$2:$A$500,0)),0)</f>
        <v>22</v>
      </c>
      <c r="M28" s="165">
        <v>0</v>
      </c>
      <c r="N28" s="165">
        <f>L28+M28</f>
        <v>22</v>
      </c>
      <c r="O28" s="171">
        <f>IFERROR(INDEX(Logs!$H$2:$H$500,MATCH('Beneficiaries (6)'!$B28,Logs!$A$2:$A$500,0)),)</f>
        <v>204.16</v>
      </c>
      <c r="P28" s="172">
        <f>IFERROR(N28*O28,0)</f>
        <v>4491.5199999999995</v>
      </c>
      <c r="Q28" s="173"/>
      <c r="R28" s="145" t="s"/>
    </row>
    <row r="29">
      <c r="A29" s="144" t="str">
        <f>ID_Valid(E29)</f>
      </c>
      <c r="B29" s="165">
        <v>120</v>
      </c>
      <c r="C29" s="170" t="str">
        <f>IFERROR(INDEX(Logs!$B$2:$B$500,MATCH('Beneficiaries (6)'!$B29,Logs!$A$2:$A$500,0)),"")</f>
        <v>Fundiswa</v>
      </c>
      <c r="D29" s="170" t="str">
        <f>IFERROR(INDEX(Logs!$C$2:$C$500,MATCH('Beneficiaries (6)'!$B29,Logs!$A$2:$A$500,0)),"")</f>
        <v>Yawa</v>
      </c>
      <c r="E29" s="167" t="str">
        <f>IFERROR(INDEX(Logs!$D$2:$D$500,MATCH('Beneficiaries (6)'!$B29,Logs!$A$2:$A$500,0)),"")</f>
        <v>7601080572082</v>
      </c>
      <c r="F29" s="168" t="s">
        <v>125</v>
      </c>
      <c r="G29" s="165" t="str">
        <f>TheGender(E29)</f>
        <v>F</v>
      </c>
      <c r="H29" s="165" t="s">
        <v>125</v>
      </c>
      <c r="I29" s="165" t="s">
        <v>126</v>
      </c>
      <c r="J29" s="165" t="str">
        <f>IFERROR(INDEX(Logs!$E$2:$E$500,MATCH('Beneficiaries (6)'!$B29,Logs!$A$2:$A$500,0)),"")</f>
        <v>14/06/0007</v>
      </c>
      <c r="K29" s="165" t="str">
        <f>IFERROR(INDEX(Logs!$F$2:$F$500,MATCH('Beneficiaries (6)'!$B29,Logs!$A$2:$A$500,0)),"")</f>
        <v>15/05/0036</v>
      </c>
      <c r="L29" s="165">
        <f>IFERROR(INDEX(Logs!$G$2:$G$500,MATCH('Beneficiaries (6)'!$B29,Logs!$A$2:$A$500,0)),0)</f>
        <v>22</v>
      </c>
      <c r="M29" s="165">
        <v>0</v>
      </c>
      <c r="N29" s="165">
        <f>L29+M29</f>
        <v>22</v>
      </c>
      <c r="O29" s="171">
        <f>IFERROR(INDEX(Logs!$H$2:$H$500,MATCH('Beneficiaries (6)'!$B29,Logs!$A$2:$A$500,0)),)</f>
        <v>204.16</v>
      </c>
      <c r="P29" s="172">
        <f>IFERROR(N29*O29,0)</f>
        <v>4491.5199999999995</v>
      </c>
      <c r="Q29" s="173"/>
      <c r="R29" s="145" t="s"/>
    </row>
    <row r="30">
      <c r="A30" s="144" t="s"/>
      <c r="B30" s="175"/>
      <c r="C30" s="175"/>
      <c r="D30" s="175"/>
      <c r="E30" s="175"/>
      <c r="F30" s="175"/>
      <c r="G30" s="175"/>
      <c r="H30" s="175"/>
      <c r="I30" s="175"/>
      <c r="J30" s="175"/>
      <c r="K30" s="175"/>
      <c r="L30" s="176">
        <f>SUM(L10:L29)</f>
        <v>440</v>
      </c>
      <c r="M30" s="176">
        <f>SUM(M10:M29)</f>
        <v>0</v>
      </c>
      <c r="N30" s="176">
        <f>SUM(N10:N29)</f>
        <v>440</v>
      </c>
      <c r="O30" s="177">
        <f>SUM(O10:O29)</f>
        <v>4111.0399999999991</v>
      </c>
      <c r="P30" s="178">
        <f>SUM(P10:P29)</f>
        <v>90442.880000000005</v>
      </c>
      <c r="Q30" s="179"/>
      <c r="R30" s="145" t="s"/>
    </row>
    <row r="31" ht="27" customHeight="true">
      <c r="A31" s="144" t="s"/>
      <c r="B31" s="180" t="s">
        <v>127</v>
      </c>
      <c r="C31" s="180"/>
      <c r="D31" s="181" t="s">
        <v>128</v>
      </c>
      <c r="E31" s="153" t="str">
        <f>Project!$G$30</f>
        <v>Benjamin Milandou-Loubeka</v>
      </c>
      <c r="F31" s="153"/>
      <c r="G31" s="153"/>
      <c r="H31" s="153" t="s">
        <v>129</v>
      </c>
      <c r="I31" s="157"/>
      <c r="J31" s="157"/>
      <c r="K31" s="157"/>
      <c r="L31" s="157"/>
      <c r="M31" s="157"/>
      <c r="N31" s="157"/>
      <c r="O31" s="157"/>
      <c r="P31" s="157"/>
      <c r="Q31" s="14"/>
      <c r="R31" s="145" t="s"/>
    </row>
    <row r="32" ht="27" customHeight="true">
      <c r="A32" s="144" t="s"/>
      <c r="B32" s="180"/>
      <c r="C32" s="180"/>
      <c r="D32" s="181" t="s">
        <v>130</v>
      </c>
      <c r="E32" s="182">
        <f>Project!$AN$1</f>
        <v>45199</v>
      </c>
      <c r="F32" s="182"/>
      <c r="G32" s="182"/>
      <c r="H32" s="153"/>
      <c r="I32" s="157"/>
      <c r="J32" s="157"/>
      <c r="K32" s="157"/>
      <c r="L32" s="157"/>
      <c r="M32" s="157"/>
      <c r="N32" s="157"/>
      <c r="O32" s="157"/>
      <c r="P32" s="157"/>
      <c r="Q32" s="14"/>
      <c r="R32" s="145" t="s"/>
    </row>
    <row r="33" ht="14.25" customHeight="true">
      <c r="A33" s="144" t="s"/>
      <c r="B33" s="158"/>
      <c r="C33" s="158"/>
      <c r="D33" s="183"/>
      <c r="E33" s="14"/>
      <c r="F33" s="14"/>
      <c r="G33" s="14"/>
      <c r="H33" s="148"/>
      <c r="I33" s="14"/>
      <c r="J33" s="14"/>
      <c r="K33" s="14"/>
      <c r="L33" s="14"/>
      <c r="M33" s="14"/>
      <c r="N33" s="14"/>
      <c r="O33" s="14"/>
      <c r="P33" s="14"/>
      <c r="Q33" s="14"/>
    </row>
    <row r="34" ht="27" customHeight="true">
      <c r="A34" s="144" t="s"/>
      <c r="B34" s="180" t="s">
        <v>131</v>
      </c>
      <c r="C34" s="180"/>
      <c r="D34" s="181" t="s">
        <v>128</v>
      </c>
      <c r="E34" s="157"/>
      <c r="F34" s="157"/>
      <c r="G34" s="157"/>
      <c r="H34" s="153" t="s">
        <v>129</v>
      </c>
      <c r="I34" s="157"/>
      <c r="J34" s="157"/>
      <c r="K34" s="157"/>
      <c r="L34" s="157"/>
      <c r="M34" s="157"/>
      <c r="N34" s="157"/>
      <c r="O34" s="157"/>
      <c r="P34" s="157"/>
      <c r="Q34" s="14"/>
    </row>
    <row r="35" ht="27" customHeight="true">
      <c r="A35" s="144" t="s"/>
      <c r="B35" s="180"/>
      <c r="C35" s="180"/>
      <c r="D35" s="181" t="s">
        <v>130</v>
      </c>
      <c r="E35" s="157"/>
      <c r="F35" s="157"/>
      <c r="G35" s="157"/>
      <c r="H35" s="153"/>
      <c r="I35" s="157"/>
      <c r="J35" s="157"/>
      <c r="K35" s="157"/>
      <c r="L35" s="157"/>
      <c r="M35" s="157"/>
      <c r="N35" s="157"/>
      <c r="O35" s="157"/>
      <c r="P35" s="157"/>
      <c r="Q35" s="14"/>
    </row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>
      <c r="A74" s="144" t="s"/>
      <c r="B74" s="14"/>
    </row>
  </sheetData>
  <dataValidations count="1">
    <dataValidation allowBlank="true" showInputMessage="true" showErrorMessage="true" promptTitle="Month" type="" sqref="I6">
      <formula1/>
    </dataValidation>
  </dataValidations>
  <mergeCells count="14">
    <mergeCell ref="B3:P3"/>
    <mergeCell ref="B5:C6"/>
    <mergeCell ref="D5:E6"/>
    <mergeCell ref="K5:M5"/>
    <mergeCell ref="B31:C32"/>
    <mergeCell ref="E31:G31"/>
    <mergeCell ref="H31:H32"/>
    <mergeCell ref="I31:P32"/>
    <mergeCell ref="E32:G32"/>
    <mergeCell ref="B34:C35"/>
    <mergeCell ref="E34:G34"/>
    <mergeCell ref="H34:H35"/>
    <mergeCell ref="I34:P35"/>
    <mergeCell ref="E35:G35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8.xml><?xml version="1.0" encoding="utf-8"?>
<worksheet xmlns="http://schemas.openxmlformats.org/spreadsheetml/2006/main">
  <sheetPr filterMode="false">
    <pageSetUpPr fitToPage="false"/>
  </sheetPr>
  <dimension ref="A1:R74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85546875" defaultRowHeight="12.75"/>
  <cols>
    <col collapsed="false" hidden="false" max="1" min="1" style="144" width="20.7109375" customWidth="true"/>
    <col collapsed="false" hidden="false" max="2" min="2" style="1" width="4.42578125" customWidth="true"/>
    <col collapsed="false" hidden="false" max="5" min="3" style="1" width="24.42578125" customWidth="true"/>
    <col collapsed="false" hidden="false" max="5" min="3" style="1" width="24.42578125" customWidth="true"/>
    <col collapsed="false" hidden="false" max="5" min="3" style="1" width="24.42578125" customWidth="true"/>
    <col collapsed="false" hidden="false" max="6" min="6" style="1" width="10.140625" customWidth="true"/>
    <col collapsed="false" hidden="false" max="9" min="7" style="1" width="8.85546875" customWidth="true"/>
    <col collapsed="false" hidden="false" max="9" min="7" style="1" width="8.85546875" customWidth="true"/>
    <col collapsed="false" hidden="false" max="9" min="7" style="1" width="8.85546875" customWidth="true"/>
    <col collapsed="false" hidden="false" max="11" min="10" style="1" width="10.140625" customWidth="true"/>
    <col collapsed="false" hidden="false" max="11" min="10" style="1" width="10.14062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7" min="16" style="1" width="14.5703125" customWidth="true"/>
    <col collapsed="false" hidden="false" max="17" min="16" style="1" width="14.5703125" customWidth="true"/>
    <col collapsed="false" hidden="false" max="18" min="18" style="145" width="8.85546875" customWidth="true"/>
  </cols>
  <sheetData>
    <row r="1">
      <c r="A1" s="144" t="s"/>
      <c r="B1" s="146" t="s">
        <v>96</v>
      </c>
      <c r="C1" s="2"/>
      <c r="D1" s="2"/>
      <c r="E1" s="147" t="s">
        <v>2</v>
      </c>
      <c r="F1" s="1" t="s"/>
      <c r="G1" s="2"/>
      <c r="H1" s="2"/>
      <c r="I1" s="2"/>
      <c r="J1" s="1" t="s"/>
      <c r="K1" s="1" t="s"/>
      <c r="L1" s="1" t="s"/>
      <c r="M1" s="1" t="s"/>
      <c r="N1" s="1" t="s"/>
      <c r="O1" s="1" t="s"/>
      <c r="P1" s="1" t="s"/>
      <c r="Q1" s="1" t="s"/>
      <c r="R1" s="11">
        <f>IF(Beneficiaries!$P$30&gt;0,1,"")</f>
        <v>1</v>
      </c>
    </row>
    <row r="2">
      <c r="A2" s="144" t="s"/>
      <c r="B2" s="1" t="s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11">
        <f>IF('Beneficiaries (2)'!$P$30&gt;0,1,"")</f>
        <v>1</v>
      </c>
    </row>
    <row r="3">
      <c r="A3" s="144" t="s"/>
      <c r="B3" s="148" t="s">
        <v>97</v>
      </c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1">
        <f>IF('Beneficiaries (3)'!$P$30&gt;0,1,"")</f>
        <v>1</v>
      </c>
    </row>
    <row r="4">
      <c r="A4" s="144" t="s"/>
      <c r="B4" s="1" t="s"/>
      <c r="C4" s="146"/>
      <c r="D4" s="146"/>
      <c r="E4" s="146"/>
      <c r="F4" s="146"/>
      <c r="G4" s="146"/>
      <c r="H4" s="1" t="s"/>
      <c r="I4" s="1" t="s"/>
      <c r="J4" s="1" t="s"/>
      <c r="K4" s="1" t="s"/>
      <c r="L4" s="1" t="s"/>
      <c r="M4" s="1" t="s"/>
      <c r="N4" s="1" t="s"/>
      <c r="O4" s="1" t="s"/>
      <c r="P4" s="1" t="s"/>
      <c r="Q4" s="1" t="s"/>
      <c r="R4" s="11">
        <f>IF('Beneficiaries (4)'!$P$30&gt;0,1,"")</f>
        <v>1</v>
      </c>
    </row>
    <row r="5" ht="12.75" customHeight="true">
      <c r="A5" s="144" t="s"/>
      <c r="B5" s="149" t="s">
        <v>98</v>
      </c>
      <c r="C5" s="150"/>
      <c r="D5" s="151" t="str">
        <f>Project!$Z$25</f>
        <v>WSDS/24/111i</v>
      </c>
      <c r="E5" s="151"/>
      <c r="F5" s="152"/>
      <c r="G5" s="1" t="s"/>
      <c r="H5" s="153" t="s">
        <v>99</v>
      </c>
      <c r="I5" s="153" t="s">
        <v>100</v>
      </c>
      <c r="J5" s="146"/>
      <c r="K5" s="154" t="s">
        <v>101</v>
      </c>
      <c r="L5" s="154"/>
      <c r="M5" s="154"/>
      <c r="N5" s="39"/>
      <c r="O5" s="39"/>
      <c r="P5" s="146"/>
      <c r="Q5" s="146"/>
      <c r="R5" s="11">
        <f>IF('Beneficiaries (5)'!$P$30&gt;0,1,"")</f>
        <v>1</v>
      </c>
    </row>
    <row r="6">
      <c r="A6" s="144" t="s"/>
      <c r="B6" s="155"/>
      <c r="C6" s="156"/>
      <c r="D6" s="151"/>
      <c r="E6" s="151"/>
      <c r="F6" s="152"/>
      <c r="G6" s="1" t="s"/>
      <c r="H6" s="109" t="str">
        <f>TEXT(Project!$AN$1,"YYYY")</f>
        <v>2023</v>
      </c>
      <c r="I6" s="109" t="str">
        <f>TEXT(Project!$AN$1,"MMMM")</f>
        <v>September</v>
      </c>
      <c r="J6" s="7"/>
      <c r="K6" s="157">
        <v>1</v>
      </c>
      <c r="L6" s="154" t="s">
        <v>102</v>
      </c>
      <c r="M6" s="154">
        <f>IF(K6&gt;0,COUNT(R1:R20),"")</f>
        <v>14</v>
      </c>
      <c r="N6" s="39"/>
      <c r="O6" s="39"/>
      <c r="P6" s="14"/>
      <c r="Q6" s="14"/>
      <c r="R6" s="11">
        <f>IF('Beneficiaries (6)'!$P$30&gt;0,1,"")</f>
        <v>1</v>
      </c>
    </row>
    <row r="7">
      <c r="A7" s="144" t="s"/>
      <c r="B7" s="158"/>
      <c r="C7" s="158"/>
      <c r="D7" s="158"/>
      <c r="E7" s="14"/>
      <c r="F7" s="14"/>
      <c r="G7" s="1" t="s"/>
      <c r="H7" s="7"/>
      <c r="I7" s="7"/>
      <c r="J7" s="7"/>
      <c r="K7" s="14"/>
      <c r="L7" s="39"/>
      <c r="M7" s="39"/>
      <c r="N7" s="39"/>
      <c r="O7" s="39"/>
      <c r="P7" s="14"/>
      <c r="Q7" s="14"/>
      <c r="R7" s="11">
        <f>IF('Beneficiaries (7)'!$P$30&gt;0,1,"")</f>
        <v>1</v>
      </c>
    </row>
    <row r="8">
      <c r="A8" s="144" t="s"/>
      <c r="B8" s="159"/>
      <c r="C8" s="160" t="s">
        <v>103</v>
      </c>
      <c r="D8" s="160" t="s">
        <v>103</v>
      </c>
      <c r="E8" s="160" t="s">
        <v>103</v>
      </c>
      <c r="F8" s="160" t="s">
        <v>104</v>
      </c>
      <c r="G8" s="159"/>
      <c r="H8" s="159"/>
      <c r="I8" s="160" t="s">
        <v>105</v>
      </c>
      <c r="J8" s="159"/>
      <c r="K8" s="160" t="s">
        <v>106</v>
      </c>
      <c r="L8" s="160" t="s">
        <v>107</v>
      </c>
      <c r="M8" s="160" t="s">
        <v>108</v>
      </c>
      <c r="N8" s="160"/>
      <c r="O8" s="160" t="s">
        <v>109</v>
      </c>
      <c r="P8" s="160"/>
      <c r="Q8" s="161"/>
      <c r="R8" s="11">
        <f>IF('Beneficiaries (8)'!$P$30&gt;0,1,"")</f>
        <v>1</v>
      </c>
    </row>
    <row r="9">
      <c r="A9" s="144" t="s"/>
      <c r="B9" s="162" t="s">
        <v>110</v>
      </c>
      <c r="C9" s="162" t="s">
        <v>111</v>
      </c>
      <c r="D9" s="162" t="s">
        <v>112</v>
      </c>
      <c r="E9" s="162" t="s">
        <v>113</v>
      </c>
      <c r="F9" s="163" t="s">
        <v>114</v>
      </c>
      <c r="G9" s="163" t="s">
        <v>115</v>
      </c>
      <c r="H9" s="163" t="s">
        <v>116</v>
      </c>
      <c r="I9" s="163" t="s">
        <v>117</v>
      </c>
      <c r="J9" s="163" t="s">
        <v>118</v>
      </c>
      <c r="K9" s="163" t="s">
        <v>119</v>
      </c>
      <c r="L9" s="163" t="s">
        <v>120</v>
      </c>
      <c r="M9" s="163" t="s">
        <v>121</v>
      </c>
      <c r="N9" s="163" t="s">
        <v>122</v>
      </c>
      <c r="O9" s="163" t="s">
        <v>123</v>
      </c>
      <c r="P9" s="163" t="s">
        <v>124</v>
      </c>
      <c r="Q9" s="164"/>
      <c r="R9" s="11">
        <f>IF('Beneficiaries (9)'!$P$30&gt;0,1,"")</f>
        <v>1</v>
      </c>
    </row>
    <row r="10">
      <c r="A10" s="144" t="str">
        <f>ID_Valid(E10)</f>
      </c>
      <c r="B10" s="165">
        <v>121</v>
      </c>
      <c r="C10" s="166" t="str">
        <f>IFERROR(INDEX(Logs!$B$2:$B$500,MATCH('Beneficiaries (7)'!$B10,Logs!$A$2:$A$500,0)),"")</f>
        <v>Patricia</v>
      </c>
      <c r="D10" s="166" t="str">
        <f>IFERROR(INDEX(Logs!$C$2:$C$500,MATCH('Beneficiaries (7)'!$B10,Logs!$A$2:$A$500,0)),"")</f>
        <v>Famfam</v>
      </c>
      <c r="E10" s="167" t="str">
        <f>IFERROR(INDEX(Logs!$D$2:$D$500,MATCH('Beneficiaries (7)'!$B10,Logs!$A$2:$A$500,0)),"")</f>
        <v>7203140753081</v>
      </c>
      <c r="F10" s="168" t="s">
        <v>125</v>
      </c>
      <c r="G10" s="165" t="str">
        <f>TheGender(E10)</f>
        <v>F</v>
      </c>
      <c r="H10" s="165" t="s">
        <v>125</v>
      </c>
      <c r="I10" s="169" t="s">
        <v>126</v>
      </c>
      <c r="J10" s="170" t="str">
        <f>IFERROR(INDEX(Logs!$E$2:$E$500,MATCH('Beneficiaries (7)'!$B10,Logs!$A$2:$A$500,0)),"")</f>
        <v>14/06/0007</v>
      </c>
      <c r="K10" s="170" t="str">
        <f>IFERROR(INDEX(Logs!$F$2:$F$500,MATCH('Beneficiaries (7)'!$B10,Logs!$A$2:$A$500,0)),"")</f>
        <v>15/05/0036</v>
      </c>
      <c r="L10" s="165">
        <f>IFERROR(INDEX(Logs!$G$2:$G$500,MATCH('Beneficiaries (7)'!$B10,Logs!$A$2:$A$500,0)),0)</f>
        <v>22</v>
      </c>
      <c r="M10" s="165">
        <v>0</v>
      </c>
      <c r="N10" s="165">
        <f>M10+L10</f>
        <v>22</v>
      </c>
      <c r="O10" s="171">
        <f>IFERROR(INDEX(Logs!$H$2:$H$500,MATCH('Beneficiaries (7)'!$B10,Logs!$A$2:$A$500,0)),)</f>
        <v>204.16</v>
      </c>
      <c r="P10" s="172">
        <f>IFERROR(N10*O10,0)</f>
        <v>4491.5199999999995</v>
      </c>
      <c r="Q10" s="173"/>
      <c r="R10" s="11">
        <f>IF('Beneficiaries (10)'!$P$30&gt;0,1,"")</f>
        <v>1</v>
      </c>
    </row>
    <row r="11">
      <c r="A11" s="144" t="str">
        <f>ID_Valid(E11)</f>
        <v>INVALID ID - Day</v>
      </c>
      <c r="B11" s="165">
        <v>122</v>
      </c>
      <c r="C11" s="166" t="str">
        <f>IFERROR(INDEX(Logs!$B$2:$B$500,MATCH('Beneficiaries (7)'!$B11,Logs!$A$2:$A$500,0)),"")</f>
        <v>Phumlani</v>
      </c>
      <c r="D11" s="166" t="str">
        <f>IFERROR(INDEX(Logs!$C$2:$C$500,MATCH('Beneficiaries (7)'!$B11,Logs!$A$2:$A$500,0)),"")</f>
        <v>Mpinge</v>
      </c>
      <c r="E11" s="167" t="str">
        <f>IFERROR(INDEX(Logs!$D$2:$D$500,MATCH('Beneficiaries (7)'!$B11,Logs!$A$2:$A$500,0)),"")</f>
        <v>861085831086</v>
      </c>
      <c r="F11" s="168" t="s">
        <v>125</v>
      </c>
      <c r="G11" s="165" t="str">
        <f>TheGender(E11)</f>
      </c>
      <c r="H11" s="165" t="s">
        <v>125</v>
      </c>
      <c r="I11" s="165" t="s">
        <v>126</v>
      </c>
      <c r="J11" s="165" t="str">
        <f>IFERROR(INDEX(Logs!$E$2:$E$500,MATCH('Beneficiaries (7)'!$B11,Logs!$A$2:$A$500,0)),"")</f>
        <v>14/06/0007</v>
      </c>
      <c r="K11" s="165" t="str">
        <f>IFERROR(INDEX(Logs!$F$2:$F$500,MATCH('Beneficiaries (7)'!$B11,Logs!$A$2:$A$500,0)),"")</f>
        <v>15/05/0036</v>
      </c>
      <c r="L11" s="165">
        <f>IFERROR(INDEX(Logs!$G$2:$G$500,MATCH('Beneficiaries (7)'!$B11,Logs!$A$2:$A$500,0)),0)</f>
        <v>16</v>
      </c>
      <c r="M11" s="165">
        <v>0</v>
      </c>
      <c r="N11" s="165">
        <f>L11+M11</f>
        <v>16</v>
      </c>
      <c r="O11" s="171">
        <f>IFERROR(INDEX(Logs!$H$2:$H$500,MATCH('Beneficiaries (7)'!$B11,Logs!$A$2:$A$500,0)),)</f>
        <v>204.16</v>
      </c>
      <c r="P11" s="172">
        <f>IFERROR(N11*O11,0)</f>
        <v>3266.56</v>
      </c>
      <c r="Q11" s="173"/>
      <c r="R11" s="11">
        <f>IF('Beneficiaries (11)'!$P$30&gt;0,1,"")</f>
        <v>1</v>
      </c>
    </row>
    <row r="12">
      <c r="A12" s="144" t="str">
        <f>ID_Valid(E12)</f>
      </c>
      <c r="B12" s="165">
        <v>123</v>
      </c>
      <c r="C12" s="166" t="str">
        <f>IFERROR(INDEX(Logs!$B$2:$B$500,MATCH('Beneficiaries (7)'!$B12,Logs!$A$2:$A$500,0)),"")</f>
        <v>Sibongile</v>
      </c>
      <c r="D12" s="166" t="str">
        <f>IFERROR(INDEX(Logs!$C$2:$C$500,MATCH('Beneficiaries (7)'!$B12,Logs!$A$2:$A$500,0)),"")</f>
        <v>Nokutshaya</v>
      </c>
      <c r="E12" s="167" t="str">
        <f>IFERROR(INDEX(Logs!$D$2:$D$500,MATCH('Beneficiaries (7)'!$B12,Logs!$A$2:$A$500,0)),"")</f>
        <v>7809180776087</v>
      </c>
      <c r="F12" s="168" t="s">
        <v>125</v>
      </c>
      <c r="G12" s="165" t="str">
        <f>TheGender(E12)</f>
        <v>F</v>
      </c>
      <c r="H12" s="165" t="s">
        <v>125</v>
      </c>
      <c r="I12" s="165" t="s">
        <v>126</v>
      </c>
      <c r="J12" s="165" t="str">
        <f>IFERROR(INDEX(Logs!$E$2:$E$500,MATCH('Beneficiaries (7)'!$B12,Logs!$A$2:$A$500,0)),"")</f>
        <v>14/06/0007</v>
      </c>
      <c r="K12" s="165" t="str">
        <f>IFERROR(INDEX(Logs!$F$2:$F$500,MATCH('Beneficiaries (7)'!$B12,Logs!$A$2:$A$500,0)),"")</f>
        <v>15/05/0036</v>
      </c>
      <c r="L12" s="165">
        <f>IFERROR(INDEX(Logs!$G$2:$G$500,MATCH('Beneficiaries (7)'!$B12,Logs!$A$2:$A$500,0)),0)</f>
        <v>16</v>
      </c>
      <c r="M12" s="165">
        <v>0</v>
      </c>
      <c r="N12" s="165">
        <f>L12+M12</f>
        <v>16</v>
      </c>
      <c r="O12" s="171">
        <f>IFERROR(INDEX(Logs!$H$2:$H$500,MATCH('Beneficiaries (7)'!$B12,Logs!$A$2:$A$500,0)),)</f>
        <v>204.16</v>
      </c>
      <c r="P12" s="172">
        <f>IFERROR(N12*O12,0)</f>
        <v>3266.56</v>
      </c>
      <c r="Q12" s="173"/>
      <c r="R12" s="11">
        <f>IF('Beneficiaries (12)'!$P$30&gt;0,1,"")</f>
        <v>1</v>
      </c>
    </row>
    <row r="13">
      <c r="A13" s="144" t="str">
        <f>ID_Valid(E13)</f>
      </c>
      <c r="B13" s="165">
        <v>124</v>
      </c>
      <c r="C13" s="166" t="str">
        <f>IFERROR(INDEX(Logs!$B$2:$B$500,MATCH('Beneficiaries (7)'!$B13,Logs!$A$2:$A$500,0)),"")</f>
        <v>Nosisa</v>
      </c>
      <c r="D13" s="166" t="str">
        <f>IFERROR(INDEX(Logs!$C$2:$C$500,MATCH('Beneficiaries (7)'!$B13,Logs!$A$2:$A$500,0)),"")</f>
        <v>Sibetyu</v>
      </c>
      <c r="E13" s="167" t="str">
        <f>IFERROR(INDEX(Logs!$D$2:$D$500,MATCH('Beneficiaries (7)'!$B13,Logs!$A$2:$A$500,0)),"")</f>
        <v>7812270856082</v>
      </c>
      <c r="F13" s="168" t="s">
        <v>125</v>
      </c>
      <c r="G13" s="165" t="str">
        <f>TheGender(E13)</f>
        <v>F</v>
      </c>
      <c r="H13" s="165" t="s">
        <v>125</v>
      </c>
      <c r="I13" s="165" t="s">
        <v>126</v>
      </c>
      <c r="J13" s="165" t="str">
        <f>IFERROR(INDEX(Logs!$E$2:$E$500,MATCH('Beneficiaries (7)'!$B13,Logs!$A$2:$A$500,0)),"")</f>
        <v>14/06/0007</v>
      </c>
      <c r="K13" s="165" t="str">
        <f>IFERROR(INDEX(Logs!$F$2:$F$500,MATCH('Beneficiaries (7)'!$B13,Logs!$A$2:$A$500,0)),"")</f>
        <v>15/05/0036</v>
      </c>
      <c r="L13" s="165">
        <f>IFERROR(INDEX(Logs!$G$2:$G$500,MATCH('Beneficiaries (7)'!$B13,Logs!$A$2:$A$500,0)),0)</f>
        <v>16</v>
      </c>
      <c r="M13" s="165">
        <v>0</v>
      </c>
      <c r="N13" s="165">
        <f>L13+M13</f>
        <v>16</v>
      </c>
      <c r="O13" s="171">
        <f>IFERROR(INDEX(Logs!$H$2:$H$500,MATCH('Beneficiaries (7)'!$B13,Logs!$A$2:$A$500,0)),)</f>
        <v>204.16</v>
      </c>
      <c r="P13" s="172">
        <f>IFERROR(N13*O13,0)</f>
        <v>3266.56</v>
      </c>
      <c r="Q13" s="173"/>
      <c r="R13" s="11">
        <f>IF('Beneficiaries (13)'!$P$30&gt;0,1,"")</f>
        <v>1</v>
      </c>
    </row>
    <row r="14">
      <c r="A14" s="144" t="str">
        <f>ID_Valid(E14)</f>
      </c>
      <c r="B14" s="165">
        <v>125</v>
      </c>
      <c r="C14" s="166" t="str">
        <f>IFERROR(INDEX(Logs!$B$2:$B$500,MATCH('Beneficiaries (7)'!$B14,Logs!$A$2:$A$500,0)),"")</f>
        <v>Zoliswa</v>
      </c>
      <c r="D14" s="166" t="str">
        <f>IFERROR(INDEX(Logs!$C$2:$C$500,MATCH('Beneficiaries (7)'!$B14,Logs!$A$2:$A$500,0)),"")</f>
        <v>Qamata</v>
      </c>
      <c r="E14" s="167" t="str">
        <f>IFERROR(INDEX(Logs!$D$2:$D$500,MATCH('Beneficiaries (7)'!$B14,Logs!$A$2:$A$500,0)),"")</f>
        <v>8211110935082</v>
      </c>
      <c r="F14" s="168" t="s">
        <v>125</v>
      </c>
      <c r="G14" s="165" t="str">
        <f>TheGender(E14)</f>
        <v>F</v>
      </c>
      <c r="H14" s="165" t="s">
        <v>125</v>
      </c>
      <c r="I14" s="165" t="s">
        <v>126</v>
      </c>
      <c r="J14" s="165" t="str">
        <f>IFERROR(INDEX(Logs!$E$2:$E$500,MATCH('Beneficiaries (7)'!$B14,Logs!$A$2:$A$500,0)),"")</f>
        <v>14/06/0007</v>
      </c>
      <c r="K14" s="165" t="str">
        <f>IFERROR(INDEX(Logs!$F$2:$F$500,MATCH('Beneficiaries (7)'!$B14,Logs!$A$2:$A$500,0)),"")</f>
        <v>15/05/0036</v>
      </c>
      <c r="L14" s="165">
        <f>IFERROR(INDEX(Logs!$G$2:$G$500,MATCH('Beneficiaries (7)'!$B14,Logs!$A$2:$A$500,0)),0)</f>
        <v>16</v>
      </c>
      <c r="M14" s="165">
        <v>0</v>
      </c>
      <c r="N14" s="165">
        <f>L14+M14</f>
        <v>16</v>
      </c>
      <c r="O14" s="171">
        <f>IFERROR(INDEX(Logs!$H$2:$H$500,MATCH('Beneficiaries (7)'!$B14,Logs!$A$2:$A$500,0)),)</f>
        <v>204.16</v>
      </c>
      <c r="P14" s="172">
        <f>IFERROR(N14*O14,0)</f>
        <v>3266.56</v>
      </c>
      <c r="Q14" s="173"/>
      <c r="R14" s="11">
        <f>IF('Beneficiaries (14)'!$P$30&gt;0,1,"")</f>
        <v>1</v>
      </c>
    </row>
    <row r="15">
      <c r="A15" s="144" t="str">
        <f>ID_Valid(E15)</f>
      </c>
      <c r="B15" s="165">
        <v>126</v>
      </c>
      <c r="C15" s="166" t="str">
        <f>IFERROR(INDEX(Logs!$B$2:$B$500,MATCH('Beneficiaries (7)'!$B15,Logs!$A$2:$A$500,0)),"")</f>
        <v>Funeka</v>
      </c>
      <c r="D15" s="166" t="str">
        <f>IFERROR(INDEX(Logs!$C$2:$C$500,MATCH('Beneficiaries (7)'!$B15,Logs!$A$2:$A$500,0)),"")</f>
        <v>Ngaka</v>
      </c>
      <c r="E15" s="167" t="str">
        <f>IFERROR(INDEX(Logs!$D$2:$D$500,MATCH('Beneficiaries (7)'!$B15,Logs!$A$2:$A$500,0)),"")</f>
        <v>8011111280086</v>
      </c>
      <c r="F15" s="168" t="s">
        <v>125</v>
      </c>
      <c r="G15" s="165" t="str">
        <f>TheGender(E15)</f>
        <v>F</v>
      </c>
      <c r="H15" s="165" t="s">
        <v>125</v>
      </c>
      <c r="I15" s="165" t="s">
        <v>126</v>
      </c>
      <c r="J15" s="165" t="str">
        <f>IFERROR(INDEX(Logs!$E$2:$E$500,MATCH('Beneficiaries (7)'!$B15,Logs!$A$2:$A$500,0)),"")</f>
        <v>14/06/0007</v>
      </c>
      <c r="K15" s="165" t="str">
        <f>IFERROR(INDEX(Logs!$F$2:$F$500,MATCH('Beneficiaries (7)'!$B15,Logs!$A$2:$A$500,0)),"")</f>
        <v>15/05/0036</v>
      </c>
      <c r="L15" s="165">
        <f>IFERROR(INDEX(Logs!$G$2:$G$500,MATCH('Beneficiaries (7)'!$B15,Logs!$A$2:$A$500,0)),0)</f>
        <v>16</v>
      </c>
      <c r="M15" s="165">
        <v>0</v>
      </c>
      <c r="N15" s="165">
        <f>L15+M15</f>
        <v>16</v>
      </c>
      <c r="O15" s="171">
        <f>IFERROR(INDEX(Logs!$H$2:$H$500,MATCH('Beneficiaries (7)'!$B15,Logs!$A$2:$A$500,0)),)</f>
        <v>204.16</v>
      </c>
      <c r="P15" s="172">
        <f>IFERROR(N15*O15,0)</f>
        <v>3266.56</v>
      </c>
      <c r="Q15" s="173"/>
      <c r="R15" s="11"/>
    </row>
    <row r="16">
      <c r="A16" s="144" t="str">
        <f>ID_Valid(E16)</f>
      </c>
      <c r="B16" s="165">
        <v>127</v>
      </c>
      <c r="C16" s="166" t="str">
        <f>IFERROR(INDEX(Logs!$B$2:$B$500,MATCH('Beneficiaries (7)'!$B16,Logs!$A$2:$A$500,0)),"")</f>
        <v>Babalwa</v>
      </c>
      <c r="D16" s="166" t="str">
        <f>IFERROR(INDEX(Logs!$C$2:$C$500,MATCH('Beneficiaries (7)'!$B16,Logs!$A$2:$A$500,0)),"")</f>
        <v>Mpontshane</v>
      </c>
      <c r="E16" s="167" t="str">
        <f>IFERROR(INDEX(Logs!$D$2:$D$500,MATCH('Beneficiaries (7)'!$B16,Logs!$A$2:$A$500,0)),"")</f>
        <v>8710220821082</v>
      </c>
      <c r="F16" s="168" t="s">
        <v>125</v>
      </c>
      <c r="G16" s="165" t="str">
        <f>TheGender(E16)</f>
        <v>F</v>
      </c>
      <c r="H16" s="165" t="s">
        <v>125</v>
      </c>
      <c r="I16" s="165" t="s">
        <v>126</v>
      </c>
      <c r="J16" s="165" t="str">
        <f>IFERROR(INDEX(Logs!$E$2:$E$500,MATCH('Beneficiaries (7)'!$B16,Logs!$A$2:$A$500,0)),"")</f>
        <v>14/06/0007</v>
      </c>
      <c r="K16" s="165" t="str">
        <f>IFERROR(INDEX(Logs!$F$2:$F$500,MATCH('Beneficiaries (7)'!$B16,Logs!$A$2:$A$500,0)),"")</f>
        <v>15/05/0036</v>
      </c>
      <c r="L16" s="165">
        <f>IFERROR(INDEX(Logs!$G$2:$G$500,MATCH('Beneficiaries (7)'!$B16,Logs!$A$2:$A$500,0)),0)</f>
        <v>17</v>
      </c>
      <c r="M16" s="165">
        <v>0</v>
      </c>
      <c r="N16" s="165">
        <f>L16+M16</f>
        <v>17</v>
      </c>
      <c r="O16" s="171">
        <f>IFERROR(INDEX(Logs!$H$2:$H$500,MATCH('Beneficiaries (7)'!$B16,Logs!$A$2:$A$500,0)),)</f>
        <v>204.16</v>
      </c>
      <c r="P16" s="172">
        <f>IFERROR(N16*O16,0)</f>
        <v>3470.72</v>
      </c>
      <c r="Q16" s="173"/>
      <c r="R16" s="11"/>
    </row>
    <row r="17">
      <c r="A17" s="144" t="str">
        <f>ID_Valid(E17)</f>
      </c>
      <c r="B17" s="165">
        <v>128</v>
      </c>
      <c r="C17" s="166" t="str">
        <f>IFERROR(INDEX(Logs!$B$2:$B$500,MATCH('Beneficiaries (7)'!$B17,Logs!$A$2:$A$500,0)),"")</f>
        <v>Cwayitiswa</v>
      </c>
      <c r="D17" s="166" t="str">
        <f>IFERROR(INDEX(Logs!$C$2:$C$500,MATCH('Beneficiaries (7)'!$B17,Logs!$A$2:$A$500,0)),"")</f>
        <v>Gova</v>
      </c>
      <c r="E17" s="167" t="str">
        <f>IFERROR(INDEX(Logs!$D$2:$D$500,MATCH('Beneficiaries (7)'!$B17,Logs!$A$2:$A$500,0)),"")</f>
        <v>8007090580082</v>
      </c>
      <c r="F17" s="168" t="s">
        <v>125</v>
      </c>
      <c r="G17" s="165" t="str">
        <f>TheGender(E17)</f>
        <v>F</v>
      </c>
      <c r="H17" s="165" t="s">
        <v>125</v>
      </c>
      <c r="I17" s="165" t="s">
        <v>126</v>
      </c>
      <c r="J17" s="165" t="str">
        <f>IFERROR(INDEX(Logs!$E$2:$E$500,MATCH('Beneficiaries (7)'!$B17,Logs!$A$2:$A$500,0)),"")</f>
        <v>14/06/0007</v>
      </c>
      <c r="K17" s="165" t="str">
        <f>IFERROR(INDEX(Logs!$F$2:$F$500,MATCH('Beneficiaries (7)'!$B17,Logs!$A$2:$A$500,0)),"")</f>
        <v>14/06/0036</v>
      </c>
      <c r="L17" s="165">
        <f>IFERROR(INDEX(Logs!$G$2:$G$500,MATCH('Beneficiaries (7)'!$B17,Logs!$A$2:$A$500,0)),0)</f>
        <v>17</v>
      </c>
      <c r="M17" s="165">
        <v>0</v>
      </c>
      <c r="N17" s="165">
        <f>L17+M17</f>
        <v>17</v>
      </c>
      <c r="O17" s="171">
        <f>IFERROR(INDEX(Logs!$H$2:$H$500,MATCH('Beneficiaries (7)'!$B17,Logs!$A$2:$A$500,0)),)</f>
        <v>204.16</v>
      </c>
      <c r="P17" s="172">
        <f>IFERROR(N17*O17,0)</f>
        <v>3470.72</v>
      </c>
      <c r="Q17" s="173"/>
      <c r="R17" s="11"/>
    </row>
    <row r="18">
      <c r="A18" s="144" t="str">
        <f>ID_Valid(E18)</f>
      </c>
      <c r="B18" s="165">
        <v>129</v>
      </c>
      <c r="C18" s="166" t="str">
        <f>IFERROR(INDEX(Logs!$B$2:$B$500,MATCH('Beneficiaries (7)'!$B18,Logs!$A$2:$A$500,0)),"")</f>
        <v>Nosivuyile</v>
      </c>
      <c r="D18" s="166" t="str">
        <f>IFERROR(INDEX(Logs!$C$2:$C$500,MATCH('Beneficiaries (7)'!$B18,Logs!$A$2:$A$500,0)),"")</f>
        <v>Sebezo</v>
      </c>
      <c r="E18" s="167" t="str">
        <f>IFERROR(INDEX(Logs!$D$2:$D$500,MATCH('Beneficiaries (7)'!$B18,Logs!$A$2:$A$500,0)),"")</f>
        <v>6912252289087</v>
      </c>
      <c r="F18" s="168" t="s">
        <v>125</v>
      </c>
      <c r="G18" s="165" t="str">
        <f>TheGender(E18)</f>
        <v>F</v>
      </c>
      <c r="H18" s="165" t="s">
        <v>125</v>
      </c>
      <c r="I18" s="165" t="s">
        <v>126</v>
      </c>
      <c r="J18" s="165" t="str">
        <f>IFERROR(INDEX(Logs!$E$2:$E$500,MATCH('Beneficiaries (7)'!$B18,Logs!$A$2:$A$500,0)),"")</f>
        <v>14/06/0007</v>
      </c>
      <c r="K18" s="165" t="str">
        <f>IFERROR(INDEX(Logs!$F$2:$F$500,MATCH('Beneficiaries (7)'!$B18,Logs!$A$2:$A$500,0)),"")</f>
        <v>15/05/0036</v>
      </c>
      <c r="L18" s="165">
        <f>IFERROR(INDEX(Logs!$G$2:$G$500,MATCH('Beneficiaries (7)'!$B18,Logs!$A$2:$A$500,0)),0)</f>
        <v>17</v>
      </c>
      <c r="M18" s="165">
        <v>0</v>
      </c>
      <c r="N18" s="165">
        <f>L18+M18</f>
        <v>17</v>
      </c>
      <c r="O18" s="171">
        <f>IFERROR(INDEX(Logs!$H$2:$H$500,MATCH('Beneficiaries (7)'!$B18,Logs!$A$2:$A$500,0)),)</f>
        <v>204.16</v>
      </c>
      <c r="P18" s="172">
        <f>IFERROR(N18*O18,0)</f>
        <v>3470.72</v>
      </c>
      <c r="Q18" s="173"/>
      <c r="R18" s="11"/>
    </row>
    <row r="19">
      <c r="A19" s="144" t="str">
        <f>ID_Valid(E19)</f>
      </c>
      <c r="B19" s="165">
        <v>130</v>
      </c>
      <c r="C19" s="166" t="str">
        <f>IFERROR(INDEX(Logs!$B$2:$B$500,MATCH('Beneficiaries (7)'!$B19,Logs!$A$2:$A$500,0)),"")</f>
        <v>Funeka</v>
      </c>
      <c r="D19" s="166" t="str">
        <f>IFERROR(INDEX(Logs!$C$2:$C$500,MATCH('Beneficiaries (7)'!$B19,Logs!$A$2:$A$500,0)),"")</f>
        <v>Makhinzi</v>
      </c>
      <c r="E19" s="167" t="str">
        <f>IFERROR(INDEX(Logs!$D$2:$D$500,MATCH('Beneficiaries (7)'!$B19,Logs!$A$2:$A$500,0)),"")</f>
        <v>7607270882082</v>
      </c>
      <c r="F19" s="168" t="s">
        <v>125</v>
      </c>
      <c r="G19" s="165" t="str">
        <f>TheGender(E19)</f>
        <v>F</v>
      </c>
      <c r="H19" s="165" t="s">
        <v>125</v>
      </c>
      <c r="I19" s="165" t="s">
        <v>126</v>
      </c>
      <c r="J19" s="165" t="str">
        <f>IFERROR(INDEX(Logs!$E$2:$E$500,MATCH('Beneficiaries (7)'!$B19,Logs!$A$2:$A$500,0)),"")</f>
        <v>14/06/0007</v>
      </c>
      <c r="K19" s="165" t="str">
        <f>IFERROR(INDEX(Logs!$F$2:$F$500,MATCH('Beneficiaries (7)'!$B19,Logs!$A$2:$A$500,0)),"")</f>
        <v>15/05/0036</v>
      </c>
      <c r="L19" s="165">
        <f>IFERROR(INDEX(Logs!$G$2:$G$500,MATCH('Beneficiaries (7)'!$B19,Logs!$A$2:$A$500,0)),0)</f>
        <v>16</v>
      </c>
      <c r="M19" s="165">
        <v>0</v>
      </c>
      <c r="N19" s="165">
        <f>L19+M19</f>
        <v>16</v>
      </c>
      <c r="O19" s="171">
        <f>IFERROR(INDEX(Logs!$H$2:$H$500,MATCH('Beneficiaries (7)'!$B19,Logs!$A$2:$A$500,0)),)</f>
        <v>218.08</v>
      </c>
      <c r="P19" s="172">
        <f>IFERROR(N19*O19,0)</f>
        <v>3489.28</v>
      </c>
      <c r="Q19" s="173"/>
      <c r="R19" s="11"/>
    </row>
    <row r="20">
      <c r="A20" s="144" t="str">
        <f>ID_Valid(E20)</f>
      </c>
      <c r="B20" s="165">
        <v>131</v>
      </c>
      <c r="C20" s="166" t="str">
        <f>IFERROR(INDEX(Logs!$B$2:$B$500,MATCH('Beneficiaries (7)'!$B20,Logs!$A$2:$A$500,0)),"")</f>
        <v>Baliswa</v>
      </c>
      <c r="D20" s="166" t="str">
        <f>IFERROR(INDEX(Logs!$C$2:$C$500,MATCH('Beneficiaries (7)'!$B20,Logs!$A$2:$A$500,0)),"")</f>
        <v>Moni</v>
      </c>
      <c r="E20" s="167" t="str">
        <f>IFERROR(INDEX(Logs!$D$2:$D$500,MATCH('Beneficiaries (7)'!$B20,Logs!$A$2:$A$500,0)),"")</f>
        <v>8110190584085</v>
      </c>
      <c r="F20" s="168" t="s">
        <v>125</v>
      </c>
      <c r="G20" s="165" t="str">
        <f>TheGender(E20)</f>
        <v>F</v>
      </c>
      <c r="H20" s="165" t="s">
        <v>125</v>
      </c>
      <c r="I20" s="165" t="s">
        <v>126</v>
      </c>
      <c r="J20" s="165" t="str">
        <f>IFERROR(INDEX(Logs!$E$2:$E$500,MATCH('Beneficiaries (7)'!$B20,Logs!$A$2:$A$500,0)),"")</f>
        <v>13/06/0008</v>
      </c>
      <c r="K20" s="165" t="str">
        <f>IFERROR(INDEX(Logs!$F$2:$F$500,MATCH('Beneficiaries (7)'!$B20,Logs!$A$2:$A$500,0)),"")</f>
        <v>15/05/0036</v>
      </c>
      <c r="L20" s="165">
        <f>IFERROR(INDEX(Logs!$G$2:$G$500,MATCH('Beneficiaries (7)'!$B20,Logs!$A$2:$A$500,0)),0)</f>
        <v>22</v>
      </c>
      <c r="M20" s="165">
        <v>0</v>
      </c>
      <c r="N20" s="165">
        <f>L20+M20</f>
        <v>22</v>
      </c>
      <c r="O20" s="171">
        <f>IFERROR(INDEX(Logs!$H$2:$H$500,MATCH('Beneficiaries (7)'!$B20,Logs!$A$2:$A$500,0)),)</f>
        <v>204.16</v>
      </c>
      <c r="P20" s="172">
        <f>IFERROR(N20*O20,0)</f>
        <v>4491.5199999999995</v>
      </c>
      <c r="Q20" s="173"/>
      <c r="R20" s="145" t="s"/>
    </row>
    <row r="21">
      <c r="A21" s="144" t="str">
        <f>ID_Valid(E21)</f>
      </c>
      <c r="B21" s="165">
        <v>132</v>
      </c>
      <c r="C21" s="166" t="str">
        <f>IFERROR(INDEX(Logs!$B$2:$B$500,MATCH('Beneficiaries (7)'!$B21,Logs!$A$2:$A$500,0)),"")</f>
        <v>Busisiwe</v>
      </c>
      <c r="D21" s="166" t="str">
        <f>IFERROR(INDEX(Logs!$C$2:$C$500,MATCH('Beneficiaries (7)'!$B21,Logs!$A$2:$A$500,0)),"")</f>
        <v>Somcho</v>
      </c>
      <c r="E21" s="167" t="str">
        <f>IFERROR(INDEX(Logs!$D$2:$D$500,MATCH('Beneficiaries (7)'!$B21,Logs!$A$2:$A$500,0)),"")</f>
        <v>8706061180083</v>
      </c>
      <c r="F21" s="168" t="s">
        <v>125</v>
      </c>
      <c r="G21" s="165" t="str">
        <f>TheGender(E21)</f>
        <v>F</v>
      </c>
      <c r="H21" s="165" t="s">
        <v>125</v>
      </c>
      <c r="I21" s="165" t="s">
        <v>126</v>
      </c>
      <c r="J21" s="165" t="str">
        <f>IFERROR(INDEX(Logs!$E$2:$E$500,MATCH('Beneficiaries (7)'!$B21,Logs!$A$2:$A$500,0)),"")</f>
        <v>13/06/0008</v>
      </c>
      <c r="K21" s="165" t="str">
        <f>IFERROR(INDEX(Logs!$F$2:$F$500,MATCH('Beneficiaries (7)'!$B21,Logs!$A$2:$A$500,0)),"")</f>
        <v>15/05/0036</v>
      </c>
      <c r="L21" s="165">
        <f>IFERROR(INDEX(Logs!$G$2:$G$500,MATCH('Beneficiaries (7)'!$B21,Logs!$A$2:$A$500,0)),0)</f>
        <v>22</v>
      </c>
      <c r="M21" s="165">
        <v>0</v>
      </c>
      <c r="N21" s="165">
        <f>L21+M21</f>
        <v>22</v>
      </c>
      <c r="O21" s="171">
        <f>IFERROR(INDEX(Logs!$H$2:$H$500,MATCH('Beneficiaries (7)'!$B21,Logs!$A$2:$A$500,0)),)</f>
        <v>204.16</v>
      </c>
      <c r="P21" s="172">
        <f>IFERROR(N21*O21,0)</f>
        <v>4491.5199999999995</v>
      </c>
      <c r="Q21" s="173"/>
      <c r="R21" s="145" t="s"/>
    </row>
    <row r="22">
      <c r="A22" s="144" t="str">
        <f>ID_Valid(E22)</f>
      </c>
      <c r="B22" s="165">
        <v>133</v>
      </c>
      <c r="C22" s="174" t="str">
        <f>IFERROR(INDEX(Logs!$B$2:$B$500,MATCH('Beneficiaries (7)'!$B22,Logs!$A$2:$A$500,0)),"")</f>
        <v>Loyiso</v>
      </c>
      <c r="D22" s="166" t="str">
        <f>IFERROR(INDEX(Logs!$C$2:$C$500,MATCH('Beneficiaries (7)'!$B22,Logs!$A$2:$A$500,0)),"")</f>
        <v>Dlayiya</v>
      </c>
      <c r="E22" s="167" t="str">
        <f>IFERROR(INDEX(Logs!$D$2:$D$500,MATCH('Beneficiaries (7)'!$B22,Logs!$A$2:$A$500,0)),"")</f>
        <v>8710036016083</v>
      </c>
      <c r="F22" s="168" t="s">
        <v>125</v>
      </c>
      <c r="G22" s="165" t="str">
        <f>TheGender(E22)</f>
        <v>M</v>
      </c>
      <c r="H22" s="165" t="s">
        <v>125</v>
      </c>
      <c r="I22" s="165" t="s">
        <v>126</v>
      </c>
      <c r="J22" s="165" t="str">
        <f>IFERROR(INDEX(Logs!$E$2:$E$500,MATCH('Beneficiaries (7)'!$B22,Logs!$A$2:$A$500,0)),"")</f>
        <v>13/06/0008</v>
      </c>
      <c r="K22" s="165" t="str">
        <f>IFERROR(INDEX(Logs!$F$2:$F$500,MATCH('Beneficiaries (7)'!$B22,Logs!$A$2:$A$500,0)),"")</f>
        <v>15/05/0036</v>
      </c>
      <c r="L22" s="165">
        <f>IFERROR(INDEX(Logs!$G$2:$G$500,MATCH('Beneficiaries (7)'!$B22,Logs!$A$2:$A$500,0)),0)</f>
        <v>22</v>
      </c>
      <c r="M22" s="165">
        <v>0</v>
      </c>
      <c r="N22" s="165">
        <f>L22+M22</f>
        <v>22</v>
      </c>
      <c r="O22" s="171">
        <f>IFERROR(INDEX(Logs!$H$2:$H$500,MATCH('Beneficiaries (7)'!$B22,Logs!$A$2:$A$500,0)),)</f>
        <v>204.16</v>
      </c>
      <c r="P22" s="172">
        <f>IFERROR(N22*O22,0)</f>
        <v>4491.5199999999995</v>
      </c>
      <c r="Q22" s="173"/>
      <c r="R22" s="145" t="s"/>
    </row>
    <row r="23">
      <c r="A23" s="144" t="str">
        <f>ID_Valid(E23)</f>
      </c>
      <c r="B23" s="165">
        <v>134</v>
      </c>
      <c r="C23" s="174" t="str">
        <f>IFERROR(INDEX(Logs!$B$2:$B$500,MATCH('Beneficiaries (7)'!$B23,Logs!$A$2:$A$500,0)),"")</f>
        <v>Yalanda</v>
      </c>
      <c r="D23" s="166" t="str">
        <f>IFERROR(INDEX(Logs!$C$2:$C$500,MATCH('Beneficiaries (7)'!$B23,Logs!$A$2:$A$500,0)),"")</f>
        <v>Vermeulen</v>
      </c>
      <c r="E23" s="167" t="str">
        <f>IFERROR(INDEX(Logs!$D$2:$D$500,MATCH('Beneficiaries (7)'!$B23,Logs!$A$2:$A$500,0)),"")</f>
        <v>7807230107089</v>
      </c>
      <c r="F23" s="168" t="s">
        <v>125</v>
      </c>
      <c r="G23" s="165" t="str">
        <f>TheGender(E23)</f>
        <v>F</v>
      </c>
      <c r="H23" s="165" t="s">
        <v>125</v>
      </c>
      <c r="I23" s="165" t="s">
        <v>126</v>
      </c>
      <c r="J23" s="165" t="str">
        <f>IFERROR(INDEX(Logs!$E$2:$E$500,MATCH('Beneficiaries (7)'!$B23,Logs!$A$2:$A$500,0)),"")</f>
        <v>09/01/2023</v>
      </c>
      <c r="K23" s="165" t="str">
        <f>IFERROR(INDEX(Logs!$F$2:$F$500,MATCH('Beneficiaries (7)'!$B23,Logs!$A$2:$A$500,0)),"")</f>
        <v>31/01/2024</v>
      </c>
      <c r="L23" s="165">
        <f>IFERROR(INDEX(Logs!$G$2:$G$500,MATCH('Beneficiaries (7)'!$B23,Logs!$A$2:$A$500,0)),0)</f>
        <v>17</v>
      </c>
      <c r="M23" s="165">
        <v>0</v>
      </c>
      <c r="N23" s="165">
        <f>L23+M23</f>
        <v>17</v>
      </c>
      <c r="O23" s="171">
        <f>IFERROR(INDEX(Logs!$H$2:$H$500,MATCH('Beneficiaries (7)'!$B23,Logs!$A$2:$A$500,0)),)</f>
        <v>204.16</v>
      </c>
      <c r="P23" s="172">
        <f>IFERROR(N23*O23,0)</f>
        <v>3470.72</v>
      </c>
      <c r="Q23" s="173"/>
      <c r="R23" s="145" t="s"/>
    </row>
    <row r="24">
      <c r="A24" s="144" t="str">
        <f>ID_Valid(E24)</f>
      </c>
      <c r="B24" s="165">
        <v>135</v>
      </c>
      <c r="C24" s="174" t="str">
        <f>IFERROR(INDEX(Logs!$B$2:$B$500,MATCH('Beneficiaries (7)'!$B24,Logs!$A$2:$A$500,0)),"")</f>
        <v>Francisco</v>
      </c>
      <c r="D24" s="166" t="str">
        <f>IFERROR(INDEX(Logs!$C$2:$C$500,MATCH('Beneficiaries (7)'!$B24,Logs!$A$2:$A$500,0)),"")</f>
        <v>Malgas</v>
      </c>
      <c r="E24" s="167" t="str">
        <f>IFERROR(INDEX(Logs!$D$2:$D$500,MATCH('Beneficiaries (7)'!$B24,Logs!$A$2:$A$500,0)),"")</f>
        <v>0104015151087</v>
      </c>
      <c r="F24" s="168" t="s">
        <v>125</v>
      </c>
      <c r="G24" s="165" t="str">
        <f>TheGender(E24)</f>
        <v>M</v>
      </c>
      <c r="H24" s="165" t="s">
        <v>125</v>
      </c>
      <c r="I24" s="165" t="s">
        <v>126</v>
      </c>
      <c r="J24" s="165" t="str">
        <f>IFERROR(INDEX(Logs!$E$2:$E$500,MATCH('Beneficiaries (7)'!$B24,Logs!$A$2:$A$500,0)),"")</f>
        <v>09/01/2023</v>
      </c>
      <c r="K24" s="165" t="str">
        <f>IFERROR(INDEX(Logs!$F$2:$F$500,MATCH('Beneficiaries (7)'!$B24,Logs!$A$2:$A$500,0)),"")</f>
        <v>31/01/2024</v>
      </c>
      <c r="L24" s="165">
        <f>IFERROR(INDEX(Logs!$G$2:$G$500,MATCH('Beneficiaries (7)'!$B24,Logs!$A$2:$A$500,0)),0)</f>
        <v>17</v>
      </c>
      <c r="M24" s="165">
        <v>0</v>
      </c>
      <c r="N24" s="165">
        <f>L24+M24</f>
        <v>17</v>
      </c>
      <c r="O24" s="171">
        <f>IFERROR(INDEX(Logs!$H$2:$H$500,MATCH('Beneficiaries (7)'!$B24,Logs!$A$2:$A$500,0)),)</f>
        <v>204.16</v>
      </c>
      <c r="P24" s="172">
        <f>IFERROR(N24*O24,0)</f>
        <v>3470.72</v>
      </c>
      <c r="Q24" s="173"/>
      <c r="R24" s="145" t="s"/>
    </row>
    <row r="25">
      <c r="A25" s="144" t="str">
        <f>ID_Valid(E25)</f>
      </c>
      <c r="B25" s="165">
        <v>136</v>
      </c>
      <c r="C25" s="170" t="str">
        <f>IFERROR(INDEX(Logs!$B$2:$B$500,MATCH('Beneficiaries (7)'!$B25,Logs!$A$2:$A$500,0)),"")</f>
        <v>Phateka</v>
      </c>
      <c r="D25" s="166" t="str">
        <f>IFERROR(INDEX(Logs!$C$2:$C$500,MATCH('Beneficiaries (7)'!$B25,Logs!$A$2:$A$500,0)),"")</f>
        <v>Adonisi</v>
      </c>
      <c r="E25" s="167" t="str">
        <f>IFERROR(INDEX(Logs!$D$2:$D$500,MATCH('Beneficiaries (7)'!$B25,Logs!$A$2:$A$500,0)),"")</f>
        <v>7904110989080</v>
      </c>
      <c r="F25" s="168" t="s">
        <v>125</v>
      </c>
      <c r="G25" s="165" t="str">
        <f>TheGender(E25)</f>
        <v>F</v>
      </c>
      <c r="H25" s="165" t="s">
        <v>125</v>
      </c>
      <c r="I25" s="165" t="s">
        <v>126</v>
      </c>
      <c r="J25" s="165" t="str">
        <f>IFERROR(INDEX(Logs!$E$2:$E$500,MATCH('Beneficiaries (7)'!$B25,Logs!$A$2:$A$500,0)),"")</f>
        <v>16/01/2023</v>
      </c>
      <c r="K25" s="165" t="str">
        <f>IFERROR(INDEX(Logs!$F$2:$F$500,MATCH('Beneficiaries (7)'!$B25,Logs!$A$2:$A$500,0)),"")</f>
        <v>16/01/2024</v>
      </c>
      <c r="L25" s="165">
        <f>IFERROR(INDEX(Logs!$G$2:$G$500,MATCH('Beneficiaries (7)'!$B25,Logs!$A$2:$A$500,0)),0)</f>
        <v>22</v>
      </c>
      <c r="M25" s="165">
        <v>0</v>
      </c>
      <c r="N25" s="165">
        <f>L25+M25</f>
        <v>22</v>
      </c>
      <c r="O25" s="171">
        <f>IFERROR(INDEX(Logs!$H$2:$H$500,MATCH('Beneficiaries (7)'!$B25,Logs!$A$2:$A$500,0)),)</f>
        <v>204.16</v>
      </c>
      <c r="P25" s="172">
        <f>IFERROR(N25*O25,0)</f>
        <v>4491.5199999999995</v>
      </c>
      <c r="Q25" s="173"/>
      <c r="R25" s="145" t="s"/>
    </row>
    <row r="26">
      <c r="A26" s="144" t="str">
        <f>ID_Valid(E26)</f>
      </c>
      <c r="B26" s="165">
        <v>137</v>
      </c>
      <c r="C26" s="170" t="str">
        <f>IFERROR(INDEX(Logs!$B$2:$B$500,MATCH('Beneficiaries (7)'!$B26,Logs!$A$2:$A$500,0)),"")</f>
        <v>Athini</v>
      </c>
      <c r="D26" s="166" t="str">
        <f>IFERROR(INDEX(Logs!$C$2:$C$500,MATCH('Beneficiaries (7)'!$B26,Logs!$A$2:$A$500,0)),"")</f>
        <v>Ngaphi</v>
      </c>
      <c r="E26" s="167" t="str">
        <f>IFERROR(INDEX(Logs!$D$2:$D$500,MATCH('Beneficiaries (7)'!$B26,Logs!$A$2:$A$500,0)),"")</f>
        <v>9801106007083</v>
      </c>
      <c r="F26" s="168" t="s">
        <v>125</v>
      </c>
      <c r="G26" s="165" t="str">
        <f>TheGender(E26)</f>
        <v>M</v>
      </c>
      <c r="H26" s="165" t="s">
        <v>125</v>
      </c>
      <c r="I26" s="165" t="s">
        <v>126</v>
      </c>
      <c r="J26" s="165" t="str">
        <f>IFERROR(INDEX(Logs!$E$2:$E$500,MATCH('Beneficiaries (7)'!$B26,Logs!$A$2:$A$500,0)),"")</f>
        <v>16/01/2023</v>
      </c>
      <c r="K26" s="165" t="str">
        <f>IFERROR(INDEX(Logs!$F$2:$F$500,MATCH('Beneficiaries (7)'!$B26,Logs!$A$2:$A$500,0)),"")</f>
        <v>16/01/2024</v>
      </c>
      <c r="L26" s="165">
        <f>IFERROR(INDEX(Logs!$G$2:$G$500,MATCH('Beneficiaries (7)'!$B26,Logs!$A$2:$A$500,0)),0)</f>
        <v>22</v>
      </c>
      <c r="M26" s="165">
        <v>0</v>
      </c>
      <c r="N26" s="165">
        <f>L26+M26</f>
        <v>22</v>
      </c>
      <c r="O26" s="171">
        <f>IFERROR(INDEX(Logs!$H$2:$H$500,MATCH('Beneficiaries (7)'!$B26,Logs!$A$2:$A$500,0)),)</f>
        <v>204.16</v>
      </c>
      <c r="P26" s="172">
        <f>IFERROR(N26*O26,0)</f>
        <v>4491.5199999999995</v>
      </c>
      <c r="Q26" s="173"/>
      <c r="R26" s="145" t="s"/>
    </row>
    <row r="27">
      <c r="A27" s="144" t="str">
        <f>ID_Valid(E27)</f>
      </c>
      <c r="B27" s="165">
        <v>138</v>
      </c>
      <c r="C27" s="170" t="str">
        <f>IFERROR(INDEX(Logs!$B$2:$B$500,MATCH('Beneficiaries (7)'!$B27,Logs!$A$2:$A$500,0)),"")</f>
        <v>Anele</v>
      </c>
      <c r="D27" s="166" t="str">
        <f>IFERROR(INDEX(Logs!$C$2:$C$500,MATCH('Beneficiaries (7)'!$B27,Logs!$A$2:$A$500,0)),"")</f>
        <v>Ngcaba</v>
      </c>
      <c r="E27" s="167" t="str">
        <f>IFERROR(INDEX(Logs!$D$2:$D$500,MATCH('Beneficiaries (7)'!$B27,Logs!$A$2:$A$500,0)),"")</f>
        <v>9211215855085</v>
      </c>
      <c r="F27" s="168" t="s">
        <v>125</v>
      </c>
      <c r="G27" s="165" t="str">
        <f>TheGender(E27)</f>
        <v>M</v>
      </c>
      <c r="H27" s="165" t="s">
        <v>125</v>
      </c>
      <c r="I27" s="165" t="s">
        <v>126</v>
      </c>
      <c r="J27" s="165" t="str">
        <f>IFERROR(INDEX(Logs!$E$2:$E$500,MATCH('Beneficiaries (7)'!$B27,Logs!$A$2:$A$500,0)),"")</f>
        <v>16/01/2023</v>
      </c>
      <c r="K27" s="165" t="str">
        <f>IFERROR(INDEX(Logs!$F$2:$F$500,MATCH('Beneficiaries (7)'!$B27,Logs!$A$2:$A$500,0)),"")</f>
        <v>16/01/2024</v>
      </c>
      <c r="L27" s="165">
        <f>IFERROR(INDEX(Logs!$G$2:$G$500,MATCH('Beneficiaries (7)'!$B27,Logs!$A$2:$A$500,0)),0)</f>
        <v>21</v>
      </c>
      <c r="M27" s="165">
        <v>0</v>
      </c>
      <c r="N27" s="165">
        <f>L27+M27</f>
        <v>21</v>
      </c>
      <c r="O27" s="171">
        <f>IFERROR(INDEX(Logs!$H$2:$H$500,MATCH('Beneficiaries (7)'!$B27,Logs!$A$2:$A$500,0)),)</f>
        <v>204.16</v>
      </c>
      <c r="P27" s="172">
        <f>IFERROR(N27*O27,0)</f>
        <v>4287.3599999999997</v>
      </c>
      <c r="Q27" s="173"/>
      <c r="R27" s="145" t="s"/>
    </row>
    <row r="28">
      <c r="A28" s="144" t="str">
        <f>ID_Valid(E28)</f>
      </c>
      <c r="B28" s="165">
        <v>139</v>
      </c>
      <c r="C28" s="170" t="str">
        <f>IFERROR(INDEX(Logs!$B$2:$B$500,MATCH('Beneficiaries (7)'!$B28,Logs!$A$2:$A$500,0)),"")</f>
        <v>Anathi</v>
      </c>
      <c r="D28" s="166" t="str">
        <f>IFERROR(INDEX(Logs!$C$2:$C$500,MATCH('Beneficiaries (7)'!$B28,Logs!$A$2:$A$500,0)),"")</f>
        <v>Malahlana</v>
      </c>
      <c r="E28" s="167" t="str">
        <f>IFERROR(INDEX(Logs!$D$2:$D$500,MATCH('Beneficiaries (7)'!$B28,Logs!$A$2:$A$500,0)),"")</f>
        <v>9108120684081</v>
      </c>
      <c r="F28" s="168" t="s">
        <v>125</v>
      </c>
      <c r="G28" s="165" t="str">
        <f>TheGender(E28)</f>
        <v>F</v>
      </c>
      <c r="H28" s="165" t="s">
        <v>125</v>
      </c>
      <c r="I28" s="165" t="s">
        <v>126</v>
      </c>
      <c r="J28" s="165" t="str">
        <f>IFERROR(INDEX(Logs!$E$2:$E$500,MATCH('Beneficiaries (7)'!$B28,Logs!$A$2:$A$500,0)),"")</f>
        <v>16/01/2023</v>
      </c>
      <c r="K28" s="165" t="str">
        <f>IFERROR(INDEX(Logs!$F$2:$F$500,MATCH('Beneficiaries (7)'!$B28,Logs!$A$2:$A$500,0)),"")</f>
        <v>16/01/2024</v>
      </c>
      <c r="L28" s="165">
        <f>IFERROR(INDEX(Logs!$G$2:$G$500,MATCH('Beneficiaries (7)'!$B28,Logs!$A$2:$A$500,0)),0)</f>
        <v>23</v>
      </c>
      <c r="M28" s="165">
        <v>0</v>
      </c>
      <c r="N28" s="165">
        <f>L28+M28</f>
        <v>23</v>
      </c>
      <c r="O28" s="171">
        <f>IFERROR(INDEX(Logs!$H$2:$H$500,MATCH('Beneficiaries (7)'!$B28,Logs!$A$2:$A$500,0)),)</f>
        <v>204.16</v>
      </c>
      <c r="P28" s="172">
        <f>IFERROR(N28*O28,0)</f>
        <v>4695.68</v>
      </c>
      <c r="Q28" s="173"/>
      <c r="R28" s="145" t="s"/>
    </row>
    <row r="29">
      <c r="A29" s="144" t="str">
        <f>ID_Valid(E29)</f>
      </c>
      <c r="B29" s="165">
        <v>140</v>
      </c>
      <c r="C29" s="170" t="str">
        <f>IFERROR(INDEX(Logs!$B$2:$B$500,MATCH('Beneficiaries (7)'!$B29,Logs!$A$2:$A$500,0)),"")</f>
        <v>Sindiwe</v>
      </c>
      <c r="D29" s="170" t="str">
        <f>IFERROR(INDEX(Logs!$C$2:$C$500,MATCH('Beneficiaries (7)'!$B29,Logs!$A$2:$A$500,0)),"")</f>
        <v>Gcilitshana</v>
      </c>
      <c r="E29" s="167" t="str">
        <f>IFERROR(INDEX(Logs!$D$2:$D$500,MATCH('Beneficiaries (7)'!$B29,Logs!$A$2:$A$500,0)),"")</f>
        <v>7512281125085</v>
      </c>
      <c r="F29" s="168" t="s">
        <v>125</v>
      </c>
      <c r="G29" s="165" t="str">
        <f>TheGender(E29)</f>
        <v>F</v>
      </c>
      <c r="H29" s="165" t="s">
        <v>125</v>
      </c>
      <c r="I29" s="165" t="s">
        <v>126</v>
      </c>
      <c r="J29" s="165" t="str">
        <f>IFERROR(INDEX(Logs!$E$2:$E$500,MATCH('Beneficiaries (7)'!$B29,Logs!$A$2:$A$500,0)),"")</f>
        <v>23/01/2023</v>
      </c>
      <c r="K29" s="165" t="str">
        <f>IFERROR(INDEX(Logs!$F$2:$F$500,MATCH('Beneficiaries (7)'!$B29,Logs!$A$2:$A$500,0)),"")</f>
        <v>31/01/2024</v>
      </c>
      <c r="L29" s="165">
        <f>IFERROR(INDEX(Logs!$G$2:$G$500,MATCH('Beneficiaries (7)'!$B29,Logs!$A$2:$A$500,0)),0)</f>
        <v>22</v>
      </c>
      <c r="M29" s="165">
        <v>0</v>
      </c>
      <c r="N29" s="165">
        <f>L29+M29</f>
        <v>22</v>
      </c>
      <c r="O29" s="171">
        <f>IFERROR(INDEX(Logs!$H$2:$H$500,MATCH('Beneficiaries (7)'!$B29,Logs!$A$2:$A$500,0)),)</f>
        <v>204.16</v>
      </c>
      <c r="P29" s="172">
        <f>IFERROR(N29*O29,0)</f>
        <v>4491.5199999999995</v>
      </c>
      <c r="Q29" s="173"/>
      <c r="R29" s="145" t="s"/>
    </row>
    <row r="30">
      <c r="A30" s="144" t="s"/>
      <c r="B30" s="175"/>
      <c r="C30" s="175"/>
      <c r="D30" s="175"/>
      <c r="E30" s="175"/>
      <c r="F30" s="175"/>
      <c r="G30" s="175"/>
      <c r="H30" s="175"/>
      <c r="I30" s="175"/>
      <c r="J30" s="175"/>
      <c r="K30" s="175"/>
      <c r="L30" s="176">
        <f>SUM(L10:L29)</f>
        <v>379</v>
      </c>
      <c r="M30" s="176">
        <f>SUM(M10:M29)</f>
        <v>0</v>
      </c>
      <c r="N30" s="176">
        <f>SUM(N10:N29)</f>
        <v>379</v>
      </c>
      <c r="O30" s="177">
        <f>SUM(O10:O29)</f>
        <v>4097.119999999999</v>
      </c>
      <c r="P30" s="178">
        <f>SUM(P10:P29)</f>
        <v>77599.360000000001</v>
      </c>
      <c r="Q30" s="179"/>
      <c r="R30" s="145" t="s"/>
    </row>
    <row r="31" ht="27" customHeight="true">
      <c r="A31" s="144" t="s"/>
      <c r="B31" s="180" t="s">
        <v>127</v>
      </c>
      <c r="C31" s="180"/>
      <c r="D31" s="181" t="s">
        <v>128</v>
      </c>
      <c r="E31" s="153" t="str">
        <f>Project!$G$30</f>
        <v>Benjamin Milandou-Loubeka</v>
      </c>
      <c r="F31" s="153"/>
      <c r="G31" s="153"/>
      <c r="H31" s="153" t="s">
        <v>129</v>
      </c>
      <c r="I31" s="157"/>
      <c r="J31" s="157"/>
      <c r="K31" s="157"/>
      <c r="L31" s="157"/>
      <c r="M31" s="157"/>
      <c r="N31" s="157"/>
      <c r="O31" s="157"/>
      <c r="P31" s="157"/>
      <c r="Q31" s="14"/>
      <c r="R31" s="145" t="s"/>
    </row>
    <row r="32" ht="27" customHeight="true">
      <c r="A32" s="144" t="s"/>
      <c r="B32" s="180"/>
      <c r="C32" s="180"/>
      <c r="D32" s="181" t="s">
        <v>130</v>
      </c>
      <c r="E32" s="182">
        <f>Project!$AN$1</f>
        <v>45199</v>
      </c>
      <c r="F32" s="182"/>
      <c r="G32" s="182"/>
      <c r="H32" s="153"/>
      <c r="I32" s="157"/>
      <c r="J32" s="157"/>
      <c r="K32" s="157"/>
      <c r="L32" s="157"/>
      <c r="M32" s="157"/>
      <c r="N32" s="157"/>
      <c r="O32" s="157"/>
      <c r="P32" s="157"/>
      <c r="Q32" s="14"/>
      <c r="R32" s="145" t="s"/>
    </row>
    <row r="33" ht="14.25" customHeight="true">
      <c r="A33" s="144" t="s"/>
      <c r="B33" s="158"/>
      <c r="C33" s="158"/>
      <c r="D33" s="183"/>
      <c r="E33" s="14"/>
      <c r="F33" s="14"/>
      <c r="G33" s="14"/>
      <c r="H33" s="148"/>
      <c r="I33" s="14"/>
      <c r="J33" s="14"/>
      <c r="K33" s="14"/>
      <c r="L33" s="14"/>
      <c r="M33" s="14"/>
      <c r="N33" s="14"/>
      <c r="O33" s="14"/>
      <c r="P33" s="14"/>
      <c r="Q33" s="14"/>
    </row>
    <row r="34" ht="27" customHeight="true">
      <c r="A34" s="144" t="s"/>
      <c r="B34" s="180" t="s">
        <v>131</v>
      </c>
      <c r="C34" s="180"/>
      <c r="D34" s="181" t="s">
        <v>128</v>
      </c>
      <c r="E34" s="157"/>
      <c r="F34" s="157"/>
      <c r="G34" s="157"/>
      <c r="H34" s="153" t="s">
        <v>129</v>
      </c>
      <c r="I34" s="157"/>
      <c r="J34" s="157"/>
      <c r="K34" s="157"/>
      <c r="L34" s="157"/>
      <c r="M34" s="157"/>
      <c r="N34" s="157"/>
      <c r="O34" s="157"/>
      <c r="P34" s="157"/>
      <c r="Q34" s="14"/>
    </row>
    <row r="35" ht="27" customHeight="true">
      <c r="A35" s="144" t="s"/>
      <c r="B35" s="180"/>
      <c r="C35" s="180"/>
      <c r="D35" s="181" t="s">
        <v>130</v>
      </c>
      <c r="E35" s="157"/>
      <c r="F35" s="157"/>
      <c r="G35" s="157"/>
      <c r="H35" s="153"/>
      <c r="I35" s="157"/>
      <c r="J35" s="157"/>
      <c r="K35" s="157"/>
      <c r="L35" s="157"/>
      <c r="M35" s="157"/>
      <c r="N35" s="157"/>
      <c r="O35" s="157"/>
      <c r="P35" s="157"/>
      <c r="Q35" s="14"/>
    </row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>
      <c r="A74" s="144" t="s"/>
      <c r="B74" s="14"/>
    </row>
  </sheetData>
  <dataValidations count="1">
    <dataValidation allowBlank="true" showInputMessage="true" showErrorMessage="true" promptTitle="Month" type="" sqref="I6">
      <formula1/>
    </dataValidation>
  </dataValidations>
  <mergeCells count="14">
    <mergeCell ref="B3:P3"/>
    <mergeCell ref="B5:C6"/>
    <mergeCell ref="D5:E6"/>
    <mergeCell ref="K5:M5"/>
    <mergeCell ref="B31:C32"/>
    <mergeCell ref="E31:G31"/>
    <mergeCell ref="H31:H32"/>
    <mergeCell ref="I31:P32"/>
    <mergeCell ref="E32:G32"/>
    <mergeCell ref="B34:C35"/>
    <mergeCell ref="E34:G34"/>
    <mergeCell ref="H34:H35"/>
    <mergeCell ref="I34:P35"/>
    <mergeCell ref="E35:G35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9.xml><?xml version="1.0" encoding="utf-8"?>
<worksheet xmlns="http://schemas.openxmlformats.org/spreadsheetml/2006/main">
  <sheetPr filterMode="false">
    <pageSetUpPr fitToPage="false"/>
  </sheetPr>
  <dimension ref="A1:R74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85546875" defaultRowHeight="12.75"/>
  <cols>
    <col collapsed="false" hidden="false" max="1" min="1" style="144" width="20.7109375" customWidth="true"/>
    <col collapsed="false" hidden="false" max="2" min="2" style="1" width="4.42578125" customWidth="true"/>
    <col collapsed="false" hidden="false" max="5" min="3" style="1" width="24.42578125" customWidth="true"/>
    <col collapsed="false" hidden="false" max="5" min="3" style="1" width="24.42578125" customWidth="true"/>
    <col collapsed="false" hidden="false" max="5" min="3" style="1" width="24.42578125" customWidth="true"/>
    <col collapsed="false" hidden="false" max="6" min="6" style="1" width="10.140625" customWidth="true"/>
    <col collapsed="false" hidden="false" max="9" min="7" style="1" width="8.85546875" customWidth="true"/>
    <col collapsed="false" hidden="false" max="9" min="7" style="1" width="8.85546875" customWidth="true"/>
    <col collapsed="false" hidden="false" max="9" min="7" style="1" width="8.85546875" customWidth="true"/>
    <col collapsed="false" hidden="false" max="11" min="10" style="1" width="10.140625" customWidth="true"/>
    <col collapsed="false" hidden="false" max="11" min="10" style="1" width="10.14062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7" min="16" style="1" width="14.5703125" customWidth="true"/>
    <col collapsed="false" hidden="false" max="17" min="16" style="1" width="14.5703125" customWidth="true"/>
    <col collapsed="false" hidden="false" max="18" min="18" style="145" width="8.85546875" customWidth="true"/>
  </cols>
  <sheetData>
    <row r="1">
      <c r="A1" s="144" t="s"/>
      <c r="B1" s="146" t="s">
        <v>96</v>
      </c>
      <c r="C1" s="2"/>
      <c r="D1" s="2"/>
      <c r="E1" s="147" t="s">
        <v>2</v>
      </c>
      <c r="F1" s="1" t="s"/>
      <c r="G1" s="2"/>
      <c r="H1" s="2"/>
      <c r="I1" s="2"/>
      <c r="J1" s="1" t="s"/>
      <c r="K1" s="1" t="s"/>
      <c r="L1" s="1" t="s"/>
      <c r="M1" s="1" t="s"/>
      <c r="N1" s="1" t="s"/>
      <c r="O1" s="1" t="s"/>
      <c r="P1" s="1" t="s"/>
      <c r="Q1" s="1" t="s"/>
      <c r="R1" s="11">
        <f>IF(Beneficiaries!$P$30&gt;0,1,"")</f>
        <v>1</v>
      </c>
    </row>
    <row r="2">
      <c r="A2" s="144" t="s"/>
      <c r="B2" s="1" t="s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11">
        <f>IF('Beneficiaries (2)'!$P$30&gt;0,1,"")</f>
        <v>1</v>
      </c>
    </row>
    <row r="3">
      <c r="A3" s="144" t="s"/>
      <c r="B3" s="148" t="s">
        <v>97</v>
      </c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1">
        <f>IF('Beneficiaries (3)'!$P$30&gt;0,1,"")</f>
        <v>1</v>
      </c>
    </row>
    <row r="4">
      <c r="A4" s="144" t="s"/>
      <c r="B4" s="1" t="s"/>
      <c r="C4" s="146"/>
      <c r="D4" s="146"/>
      <c r="E4" s="146"/>
      <c r="F4" s="146"/>
      <c r="G4" s="146"/>
      <c r="H4" s="1" t="s"/>
      <c r="I4" s="1" t="s"/>
      <c r="J4" s="1" t="s"/>
      <c r="K4" s="1" t="s"/>
      <c r="L4" s="1" t="s"/>
      <c r="M4" s="1" t="s"/>
      <c r="N4" s="1" t="s"/>
      <c r="O4" s="1" t="s"/>
      <c r="P4" s="1" t="s"/>
      <c r="Q4" s="1" t="s"/>
      <c r="R4" s="11">
        <f>IF('Beneficiaries (4)'!$P$30&gt;0,1,"")</f>
        <v>1</v>
      </c>
    </row>
    <row r="5" ht="12.75" customHeight="true">
      <c r="A5" s="144" t="s"/>
      <c r="B5" s="149" t="s">
        <v>98</v>
      </c>
      <c r="C5" s="150"/>
      <c r="D5" s="151" t="str">
        <f>Project!$Z$25</f>
        <v>WSDS/24/111i</v>
      </c>
      <c r="E5" s="151"/>
      <c r="F5" s="152"/>
      <c r="G5" s="1" t="s"/>
      <c r="H5" s="153" t="s">
        <v>99</v>
      </c>
      <c r="I5" s="153" t="s">
        <v>100</v>
      </c>
      <c r="J5" s="146"/>
      <c r="K5" s="154" t="s">
        <v>101</v>
      </c>
      <c r="L5" s="154"/>
      <c r="M5" s="154"/>
      <c r="N5" s="39"/>
      <c r="O5" s="39"/>
      <c r="P5" s="146"/>
      <c r="Q5" s="146"/>
      <c r="R5" s="11">
        <f>IF('Beneficiaries (5)'!$P$30&gt;0,1,"")</f>
        <v>1</v>
      </c>
    </row>
    <row r="6">
      <c r="A6" s="144" t="s"/>
      <c r="B6" s="155"/>
      <c r="C6" s="156"/>
      <c r="D6" s="151"/>
      <c r="E6" s="151"/>
      <c r="F6" s="152"/>
      <c r="G6" s="1" t="s"/>
      <c r="H6" s="109" t="str">
        <f>TEXT(Project!$AN$1,"YYYY")</f>
        <v>2023</v>
      </c>
      <c r="I6" s="109" t="str">
        <f>TEXT(Project!$AN$1,"MMMM")</f>
        <v>September</v>
      </c>
      <c r="J6" s="7"/>
      <c r="K6" s="157">
        <v>1</v>
      </c>
      <c r="L6" s="154" t="s">
        <v>102</v>
      </c>
      <c r="M6" s="154">
        <f>IF(K6&gt;0,COUNT(R1:R20),"")</f>
        <v>14</v>
      </c>
      <c r="N6" s="39"/>
      <c r="O6" s="39"/>
      <c r="P6" s="14"/>
      <c r="Q6" s="14"/>
      <c r="R6" s="11">
        <f>IF('Beneficiaries (6)'!$P$30&gt;0,1,"")</f>
        <v>1</v>
      </c>
    </row>
    <row r="7">
      <c r="A7" s="144" t="s"/>
      <c r="B7" s="158"/>
      <c r="C7" s="158"/>
      <c r="D7" s="158"/>
      <c r="E7" s="14"/>
      <c r="F7" s="14"/>
      <c r="G7" s="1" t="s"/>
      <c r="H7" s="7"/>
      <c r="I7" s="7"/>
      <c r="J7" s="7"/>
      <c r="K7" s="14"/>
      <c r="L7" s="39"/>
      <c r="M7" s="39"/>
      <c r="N7" s="39"/>
      <c r="O7" s="39"/>
      <c r="P7" s="14"/>
      <c r="Q7" s="14"/>
      <c r="R7" s="11">
        <f>IF('Beneficiaries (7)'!$P$30&gt;0,1,"")</f>
        <v>1</v>
      </c>
    </row>
    <row r="8">
      <c r="A8" s="144" t="s"/>
      <c r="B8" s="159"/>
      <c r="C8" s="160" t="s">
        <v>103</v>
      </c>
      <c r="D8" s="160" t="s">
        <v>103</v>
      </c>
      <c r="E8" s="160" t="s">
        <v>103</v>
      </c>
      <c r="F8" s="160" t="s">
        <v>104</v>
      </c>
      <c r="G8" s="159"/>
      <c r="H8" s="159"/>
      <c r="I8" s="160" t="s">
        <v>105</v>
      </c>
      <c r="J8" s="159"/>
      <c r="K8" s="160" t="s">
        <v>106</v>
      </c>
      <c r="L8" s="160" t="s">
        <v>107</v>
      </c>
      <c r="M8" s="160" t="s">
        <v>108</v>
      </c>
      <c r="N8" s="160"/>
      <c r="O8" s="160" t="s">
        <v>109</v>
      </c>
      <c r="P8" s="160"/>
      <c r="Q8" s="161"/>
      <c r="R8" s="11">
        <f>IF('Beneficiaries (8)'!$P$30&gt;0,1,"")</f>
        <v>1</v>
      </c>
    </row>
    <row r="9">
      <c r="A9" s="144" t="s"/>
      <c r="B9" s="162" t="s">
        <v>110</v>
      </c>
      <c r="C9" s="162" t="s">
        <v>111</v>
      </c>
      <c r="D9" s="162" t="s">
        <v>112</v>
      </c>
      <c r="E9" s="162" t="s">
        <v>113</v>
      </c>
      <c r="F9" s="163" t="s">
        <v>114</v>
      </c>
      <c r="G9" s="163" t="s">
        <v>115</v>
      </c>
      <c r="H9" s="163" t="s">
        <v>116</v>
      </c>
      <c r="I9" s="163" t="s">
        <v>117</v>
      </c>
      <c r="J9" s="163" t="s">
        <v>118</v>
      </c>
      <c r="K9" s="163" t="s">
        <v>119</v>
      </c>
      <c r="L9" s="163" t="s">
        <v>120</v>
      </c>
      <c r="M9" s="163" t="s">
        <v>121</v>
      </c>
      <c r="N9" s="163" t="s">
        <v>122</v>
      </c>
      <c r="O9" s="163" t="s">
        <v>123</v>
      </c>
      <c r="P9" s="163" t="s">
        <v>124</v>
      </c>
      <c r="Q9" s="164"/>
      <c r="R9" s="11">
        <f>IF('Beneficiaries (9)'!$P$30&gt;0,1,"")</f>
        <v>1</v>
      </c>
    </row>
    <row r="10">
      <c r="A10" s="144" t="str">
        <f>ID_Valid(E10)</f>
      </c>
      <c r="B10" s="165">
        <v>141</v>
      </c>
      <c r="C10" s="166" t="str">
        <f>IFERROR(INDEX(Logs!$B$2:$B$500,MATCH('Beneficiaries (8)'!$B10,Logs!$A$2:$A$500,0)),"")</f>
        <v>Rebecca</v>
      </c>
      <c r="D10" s="166" t="str">
        <f>IFERROR(INDEX(Logs!$C$2:$C$500,MATCH('Beneficiaries (8)'!$B10,Logs!$A$2:$A$500,0)),"")</f>
        <v>Matubatuba</v>
      </c>
      <c r="E10" s="167" t="str">
        <f>IFERROR(INDEX(Logs!$D$2:$D$500,MATCH('Beneficiaries (8)'!$B10,Logs!$A$2:$A$500,0)),"")</f>
        <v>8611231014081</v>
      </c>
      <c r="F10" s="168" t="s">
        <v>125</v>
      </c>
      <c r="G10" s="165" t="str">
        <f>TheGender(E10)</f>
        <v>F</v>
      </c>
      <c r="H10" s="165" t="s">
        <v>125</v>
      </c>
      <c r="I10" s="169" t="s">
        <v>126</v>
      </c>
      <c r="J10" s="170" t="str">
        <f>IFERROR(INDEX(Logs!$E$2:$E$500,MATCH('Beneficiaries (8)'!$B10,Logs!$A$2:$A$500,0)),"")</f>
        <v>23/01/2023</v>
      </c>
      <c r="K10" s="170" t="str">
        <f>IFERROR(INDEX(Logs!$F$2:$F$500,MATCH('Beneficiaries (8)'!$B10,Logs!$A$2:$A$500,0)),"")</f>
        <v>31/01/2024</v>
      </c>
      <c r="L10" s="165">
        <f>IFERROR(INDEX(Logs!$G$2:$G$500,MATCH('Beneficiaries (8)'!$B10,Logs!$A$2:$A$500,0)),0)</f>
        <v>22</v>
      </c>
      <c r="M10" s="165">
        <v>0</v>
      </c>
      <c r="N10" s="165">
        <f>M10+L10</f>
        <v>22</v>
      </c>
      <c r="O10" s="171">
        <f>IFERROR(INDEX(Logs!$H$2:$H$500,MATCH('Beneficiaries (8)'!$B10,Logs!$A$2:$A$500,0)),)</f>
        <v>204.16</v>
      </c>
      <c r="P10" s="172">
        <f>IFERROR(N10*O10,0)</f>
        <v>4491.5199999999995</v>
      </c>
      <c r="Q10" s="173"/>
      <c r="R10" s="11">
        <f>IF('Beneficiaries (10)'!$P$30&gt;0,1,"")</f>
        <v>1</v>
      </c>
    </row>
    <row r="11">
      <c r="A11" s="144" t="str">
        <f>ID_Valid(E11)</f>
      </c>
      <c r="B11" s="165">
        <v>142</v>
      </c>
      <c r="C11" s="166" t="str">
        <f>IFERROR(INDEX(Logs!$B$2:$B$500,MATCH('Beneficiaries (8)'!$B11,Logs!$A$2:$A$500,0)),"")</f>
        <v>Zizipho</v>
      </c>
      <c r="D11" s="166" t="str">
        <f>IFERROR(INDEX(Logs!$C$2:$C$500,MATCH('Beneficiaries (8)'!$B11,Logs!$A$2:$A$500,0)),"")</f>
        <v>Mafilika</v>
      </c>
      <c r="E11" s="167" t="str">
        <f>IFERROR(INDEX(Logs!$D$2:$D$500,MATCH('Beneficiaries (8)'!$B11,Logs!$A$2:$A$500,0)),"")</f>
        <v>9712021161089</v>
      </c>
      <c r="F11" s="168" t="s">
        <v>125</v>
      </c>
      <c r="G11" s="165" t="str">
        <f>TheGender(E11)</f>
        <v>F</v>
      </c>
      <c r="H11" s="165" t="s">
        <v>125</v>
      </c>
      <c r="I11" s="165" t="s">
        <v>126</v>
      </c>
      <c r="J11" s="165" t="str">
        <f>IFERROR(INDEX(Logs!$E$2:$E$500,MATCH('Beneficiaries (8)'!$B11,Logs!$A$2:$A$500,0)),"")</f>
        <v>23/01/2023</v>
      </c>
      <c r="K11" s="165" t="str">
        <f>IFERROR(INDEX(Logs!$F$2:$F$500,MATCH('Beneficiaries (8)'!$B11,Logs!$A$2:$A$500,0)),"")</f>
        <v>31/01/2024</v>
      </c>
      <c r="L11" s="165">
        <f>IFERROR(INDEX(Logs!$G$2:$G$500,MATCH('Beneficiaries (8)'!$B11,Logs!$A$2:$A$500,0)),0)</f>
        <v>22</v>
      </c>
      <c r="M11" s="165">
        <v>0</v>
      </c>
      <c r="N11" s="165">
        <f>L11+M11</f>
        <v>22</v>
      </c>
      <c r="O11" s="171">
        <f>IFERROR(INDEX(Logs!$H$2:$H$500,MATCH('Beneficiaries (8)'!$B11,Logs!$A$2:$A$500,0)),)</f>
        <v>204.16</v>
      </c>
      <c r="P11" s="172">
        <f>IFERROR(N11*O11,0)</f>
        <v>4491.5199999999995</v>
      </c>
      <c r="Q11" s="173"/>
      <c r="R11" s="11">
        <f>IF('Beneficiaries (11)'!$P$30&gt;0,1,"")</f>
        <v>1</v>
      </c>
    </row>
    <row r="12">
      <c r="A12" s="144" t="str">
        <f>ID_Valid(E12)</f>
      </c>
      <c r="B12" s="165">
        <v>143</v>
      </c>
      <c r="C12" s="166" t="str">
        <f>IFERROR(INDEX(Logs!$B$2:$B$500,MATCH('Beneficiaries (8)'!$B12,Logs!$A$2:$A$500,0)),"")</f>
        <v>Cynthia</v>
      </c>
      <c r="D12" s="166" t="str">
        <f>IFERROR(INDEX(Logs!$C$2:$C$500,MATCH('Beneficiaries (8)'!$B12,Logs!$A$2:$A$500,0)),"")</f>
        <v>Mhlanga</v>
      </c>
      <c r="E12" s="167" t="str">
        <f>IFERROR(INDEX(Logs!$D$2:$D$500,MATCH('Beneficiaries (8)'!$B12,Logs!$A$2:$A$500,0)),"")</f>
        <v>6906110816081</v>
      </c>
      <c r="F12" s="168" t="s">
        <v>125</v>
      </c>
      <c r="G12" s="165" t="str">
        <f>TheGender(E12)</f>
        <v>F</v>
      </c>
      <c r="H12" s="165" t="s">
        <v>125</v>
      </c>
      <c r="I12" s="165" t="s">
        <v>126</v>
      </c>
      <c r="J12" s="165" t="str">
        <f>IFERROR(INDEX(Logs!$E$2:$E$500,MATCH('Beneficiaries (8)'!$B12,Logs!$A$2:$A$500,0)),"")</f>
        <v>23/01/2023</v>
      </c>
      <c r="K12" s="165" t="str">
        <f>IFERROR(INDEX(Logs!$F$2:$F$500,MATCH('Beneficiaries (8)'!$B12,Logs!$A$2:$A$500,0)),"")</f>
        <v>31/01/2024</v>
      </c>
      <c r="L12" s="165">
        <f>IFERROR(INDEX(Logs!$G$2:$G$500,MATCH('Beneficiaries (8)'!$B12,Logs!$A$2:$A$500,0)),0)</f>
        <v>21</v>
      </c>
      <c r="M12" s="165">
        <v>0</v>
      </c>
      <c r="N12" s="165">
        <f>L12+M12</f>
        <v>21</v>
      </c>
      <c r="O12" s="171">
        <f>IFERROR(INDEX(Logs!$H$2:$H$500,MATCH('Beneficiaries (8)'!$B12,Logs!$A$2:$A$500,0)),)</f>
        <v>204.16</v>
      </c>
      <c r="P12" s="172">
        <f>IFERROR(N12*O12,0)</f>
        <v>4287.3599999999997</v>
      </c>
      <c r="Q12" s="173"/>
      <c r="R12" s="11">
        <f>IF('Beneficiaries (12)'!$P$30&gt;0,1,"")</f>
        <v>1</v>
      </c>
    </row>
    <row r="13">
      <c r="A13" s="144" t="str">
        <f>ID_Valid(E13)</f>
      </c>
      <c r="B13" s="165">
        <v>144</v>
      </c>
      <c r="C13" s="166" t="str">
        <f>IFERROR(INDEX(Logs!$B$2:$B$500,MATCH('Beneficiaries (8)'!$B13,Logs!$A$2:$A$500,0)),"")</f>
        <v>Zodwa</v>
      </c>
      <c r="D13" s="166" t="str">
        <f>IFERROR(INDEX(Logs!$C$2:$C$500,MATCH('Beneficiaries (8)'!$B13,Logs!$A$2:$A$500,0)),"")</f>
        <v>Masangwana</v>
      </c>
      <c r="E13" s="167" t="str">
        <f>IFERROR(INDEX(Logs!$D$2:$D$500,MATCH('Beneficiaries (8)'!$B13,Logs!$A$2:$A$500,0)),"")</f>
        <v>7303220962089</v>
      </c>
      <c r="F13" s="168" t="s">
        <v>125</v>
      </c>
      <c r="G13" s="165" t="str">
        <f>TheGender(E13)</f>
        <v>F</v>
      </c>
      <c r="H13" s="165" t="s">
        <v>125</v>
      </c>
      <c r="I13" s="165" t="s">
        <v>126</v>
      </c>
      <c r="J13" s="165" t="str">
        <f>IFERROR(INDEX(Logs!$E$2:$E$500,MATCH('Beneficiaries (8)'!$B13,Logs!$A$2:$A$500,0)),"")</f>
        <v>23/01/2023</v>
      </c>
      <c r="K13" s="165" t="str">
        <f>IFERROR(INDEX(Logs!$F$2:$F$500,MATCH('Beneficiaries (8)'!$B13,Logs!$A$2:$A$500,0)),"")</f>
        <v>31/01/2024</v>
      </c>
      <c r="L13" s="165">
        <f>IFERROR(INDEX(Logs!$G$2:$G$500,MATCH('Beneficiaries (8)'!$B13,Logs!$A$2:$A$500,0)),0)</f>
        <v>22</v>
      </c>
      <c r="M13" s="165">
        <v>0</v>
      </c>
      <c r="N13" s="165">
        <f>L13+M13</f>
        <v>22</v>
      </c>
      <c r="O13" s="171">
        <f>IFERROR(INDEX(Logs!$H$2:$H$500,MATCH('Beneficiaries (8)'!$B13,Logs!$A$2:$A$500,0)),)</f>
        <v>204.16</v>
      </c>
      <c r="P13" s="172">
        <f>IFERROR(N13*O13,0)</f>
        <v>4491.5199999999995</v>
      </c>
      <c r="Q13" s="173"/>
      <c r="R13" s="11">
        <f>IF('Beneficiaries (13)'!$P$30&gt;0,1,"")</f>
        <v>1</v>
      </c>
    </row>
    <row r="14">
      <c r="A14" s="144" t="str">
        <f>ID_Valid(E14)</f>
      </c>
      <c r="B14" s="165">
        <v>145</v>
      </c>
      <c r="C14" s="166" t="str">
        <f>IFERROR(INDEX(Logs!$B$2:$B$500,MATCH('Beneficiaries (8)'!$B14,Logs!$A$2:$A$500,0)),"")</f>
        <v>Noncedo</v>
      </c>
      <c r="D14" s="166" t="str">
        <f>IFERROR(INDEX(Logs!$C$2:$C$500,MATCH('Beneficiaries (8)'!$B14,Logs!$A$2:$A$500,0)),"")</f>
        <v>Sibali</v>
      </c>
      <c r="E14" s="167" t="str">
        <f>IFERROR(INDEX(Logs!$D$2:$D$500,MATCH('Beneficiaries (8)'!$B14,Logs!$A$2:$A$500,0)),"")</f>
        <v>8102180926087</v>
      </c>
      <c r="F14" s="168" t="s">
        <v>125</v>
      </c>
      <c r="G14" s="165" t="str">
        <f>TheGender(E14)</f>
        <v>F</v>
      </c>
      <c r="H14" s="165" t="s">
        <v>125</v>
      </c>
      <c r="I14" s="165" t="s">
        <v>126</v>
      </c>
      <c r="J14" s="165" t="str">
        <f>IFERROR(INDEX(Logs!$E$2:$E$500,MATCH('Beneficiaries (8)'!$B14,Logs!$A$2:$A$500,0)),"")</f>
        <v>23/01/2023</v>
      </c>
      <c r="K14" s="165" t="str">
        <f>IFERROR(INDEX(Logs!$F$2:$F$500,MATCH('Beneficiaries (8)'!$B14,Logs!$A$2:$A$500,0)),"")</f>
        <v>31/01/2024</v>
      </c>
      <c r="L14" s="165">
        <f>IFERROR(INDEX(Logs!$G$2:$G$500,MATCH('Beneficiaries (8)'!$B14,Logs!$A$2:$A$500,0)),0)</f>
        <v>22</v>
      </c>
      <c r="M14" s="165">
        <v>0</v>
      </c>
      <c r="N14" s="165">
        <f>L14+M14</f>
        <v>22</v>
      </c>
      <c r="O14" s="171">
        <f>IFERROR(INDEX(Logs!$H$2:$H$500,MATCH('Beneficiaries (8)'!$B14,Logs!$A$2:$A$500,0)),)</f>
        <v>204.16</v>
      </c>
      <c r="P14" s="172">
        <f>IFERROR(N14*O14,0)</f>
        <v>4491.5199999999995</v>
      </c>
      <c r="Q14" s="173"/>
      <c r="R14" s="11">
        <f>IF('Beneficiaries (14)'!$P$30&gt;0,1,"")</f>
        <v>1</v>
      </c>
    </row>
    <row r="15">
      <c r="A15" s="144" t="str">
        <f>ID_Valid(E15)</f>
      </c>
      <c r="B15" s="165">
        <v>146</v>
      </c>
      <c r="C15" s="166" t="str">
        <f>IFERROR(INDEX(Logs!$B$2:$B$500,MATCH('Beneficiaries (8)'!$B15,Logs!$A$2:$A$500,0)),"")</f>
        <v>Vuyokazi</v>
      </c>
      <c r="D15" s="166" t="str">
        <f>IFERROR(INDEX(Logs!$C$2:$C$500,MATCH('Beneficiaries (8)'!$B15,Logs!$A$2:$A$500,0)),"")</f>
        <v>Pita</v>
      </c>
      <c r="E15" s="167" t="str">
        <f>IFERROR(INDEX(Logs!$D$2:$D$500,MATCH('Beneficiaries (8)'!$B15,Logs!$A$2:$A$500,0)),"")</f>
        <v>8109030541081</v>
      </c>
      <c r="F15" s="168" t="s">
        <v>125</v>
      </c>
      <c r="G15" s="165" t="str">
        <f>TheGender(E15)</f>
        <v>F</v>
      </c>
      <c r="H15" s="165" t="s">
        <v>125</v>
      </c>
      <c r="I15" s="165" t="s">
        <v>126</v>
      </c>
      <c r="J15" s="165" t="str">
        <f>IFERROR(INDEX(Logs!$E$2:$E$500,MATCH('Beneficiaries (8)'!$B15,Logs!$A$2:$A$500,0)),"")</f>
        <v>23/01/2023</v>
      </c>
      <c r="K15" s="165" t="str">
        <f>IFERROR(INDEX(Logs!$F$2:$F$500,MATCH('Beneficiaries (8)'!$B15,Logs!$A$2:$A$500,0)),"")</f>
        <v>31/01/2024</v>
      </c>
      <c r="L15" s="165">
        <f>IFERROR(INDEX(Logs!$G$2:$G$500,MATCH('Beneficiaries (8)'!$B15,Logs!$A$2:$A$500,0)),0)</f>
        <v>22</v>
      </c>
      <c r="M15" s="165">
        <v>0</v>
      </c>
      <c r="N15" s="165">
        <f>L15+M15</f>
        <v>22</v>
      </c>
      <c r="O15" s="171">
        <f>IFERROR(INDEX(Logs!$H$2:$H$500,MATCH('Beneficiaries (8)'!$B15,Logs!$A$2:$A$500,0)),)</f>
        <v>204.16</v>
      </c>
      <c r="P15" s="172">
        <f>IFERROR(N15*O15,0)</f>
        <v>4491.5199999999995</v>
      </c>
      <c r="Q15" s="173"/>
      <c r="R15" s="11"/>
    </row>
    <row r="16">
      <c r="A16" s="144" t="str">
        <f>ID_Valid(E16)</f>
      </c>
      <c r="B16" s="165">
        <v>147</v>
      </c>
      <c r="C16" s="166" t="str">
        <f>IFERROR(INDEX(Logs!$B$2:$B$500,MATCH('Beneficiaries (8)'!$B16,Logs!$A$2:$A$500,0)),"")</f>
        <v>Siphosethu</v>
      </c>
      <c r="D16" s="166" t="str">
        <f>IFERROR(INDEX(Logs!$C$2:$C$500,MATCH('Beneficiaries (8)'!$B16,Logs!$A$2:$A$500,0)),"")</f>
        <v>Mandla</v>
      </c>
      <c r="E16" s="167" t="str">
        <f>IFERROR(INDEX(Logs!$D$2:$D$500,MATCH('Beneficiaries (8)'!$B16,Logs!$A$2:$A$500,0)),"")</f>
        <v>9412181236082</v>
      </c>
      <c r="F16" s="168" t="s">
        <v>125</v>
      </c>
      <c r="G16" s="165" t="str">
        <f>TheGender(E16)</f>
        <v>F</v>
      </c>
      <c r="H16" s="165" t="s">
        <v>125</v>
      </c>
      <c r="I16" s="165" t="s">
        <v>126</v>
      </c>
      <c r="J16" s="165" t="str">
        <f>IFERROR(INDEX(Logs!$E$2:$E$500,MATCH('Beneficiaries (8)'!$B16,Logs!$A$2:$A$500,0)),"")</f>
        <v>23/01/2023</v>
      </c>
      <c r="K16" s="165" t="str">
        <f>IFERROR(INDEX(Logs!$F$2:$F$500,MATCH('Beneficiaries (8)'!$B16,Logs!$A$2:$A$500,0)),"")</f>
        <v>31/01/2024</v>
      </c>
      <c r="L16" s="165">
        <f>IFERROR(INDEX(Logs!$G$2:$G$500,MATCH('Beneficiaries (8)'!$B16,Logs!$A$2:$A$500,0)),0)</f>
        <v>22</v>
      </c>
      <c r="M16" s="165">
        <v>0</v>
      </c>
      <c r="N16" s="165">
        <f>L16+M16</f>
        <v>22</v>
      </c>
      <c r="O16" s="171">
        <f>IFERROR(INDEX(Logs!$H$2:$H$500,MATCH('Beneficiaries (8)'!$B16,Logs!$A$2:$A$500,0)),)</f>
        <v>204.16</v>
      </c>
      <c r="P16" s="172">
        <f>IFERROR(N16*O16,0)</f>
        <v>4491.5199999999995</v>
      </c>
      <c r="Q16" s="173"/>
      <c r="R16" s="11"/>
    </row>
    <row r="17">
      <c r="A17" s="144" t="str">
        <f>ID_Valid(E17)</f>
      </c>
      <c r="B17" s="165">
        <v>148</v>
      </c>
      <c r="C17" s="166" t="str">
        <f>IFERROR(INDEX(Logs!$B$2:$B$500,MATCH('Beneficiaries (8)'!$B17,Logs!$A$2:$A$500,0)),"")</f>
        <v>Ndileka</v>
      </c>
      <c r="D17" s="166" t="str">
        <f>IFERROR(INDEX(Logs!$C$2:$C$500,MATCH('Beneficiaries (8)'!$B17,Logs!$A$2:$A$500,0)),"")</f>
        <v>Duna</v>
      </c>
      <c r="E17" s="167" t="str">
        <f>IFERROR(INDEX(Logs!$D$2:$D$500,MATCH('Beneficiaries (8)'!$B17,Logs!$A$2:$A$500,0)),"")</f>
        <v>7911130462089</v>
      </c>
      <c r="F17" s="168" t="s">
        <v>125</v>
      </c>
      <c r="G17" s="165" t="str">
        <f>TheGender(E17)</f>
        <v>F</v>
      </c>
      <c r="H17" s="165" t="s">
        <v>125</v>
      </c>
      <c r="I17" s="165" t="s">
        <v>126</v>
      </c>
      <c r="J17" s="165" t="str">
        <f>IFERROR(INDEX(Logs!$E$2:$E$500,MATCH('Beneficiaries (8)'!$B17,Logs!$A$2:$A$500,0)),"")</f>
        <v>23/01/2023</v>
      </c>
      <c r="K17" s="165" t="str">
        <f>IFERROR(INDEX(Logs!$F$2:$F$500,MATCH('Beneficiaries (8)'!$B17,Logs!$A$2:$A$500,0)),"")</f>
        <v>31/01/2024</v>
      </c>
      <c r="L17" s="165">
        <f>IFERROR(INDEX(Logs!$G$2:$G$500,MATCH('Beneficiaries (8)'!$B17,Logs!$A$2:$A$500,0)),0)</f>
        <v>22</v>
      </c>
      <c r="M17" s="165">
        <v>0</v>
      </c>
      <c r="N17" s="165">
        <f>L17+M17</f>
        <v>22</v>
      </c>
      <c r="O17" s="171">
        <f>IFERROR(INDEX(Logs!$H$2:$H$500,MATCH('Beneficiaries (8)'!$B17,Logs!$A$2:$A$500,0)),)</f>
        <v>204.16</v>
      </c>
      <c r="P17" s="172">
        <f>IFERROR(N17*O17,0)</f>
        <v>4491.5199999999995</v>
      </c>
      <c r="Q17" s="173"/>
      <c r="R17" s="11"/>
    </row>
    <row r="18">
      <c r="A18" s="144" t="str">
        <f>ID_Valid(E18)</f>
      </c>
      <c r="B18" s="165">
        <v>149</v>
      </c>
      <c r="C18" s="166" t="str">
        <f>IFERROR(INDEX(Logs!$B$2:$B$500,MATCH('Beneficiaries (8)'!$B18,Logs!$A$2:$A$500,0)),"")</f>
        <v>Mlindi</v>
      </c>
      <c r="D18" s="166" t="str">
        <f>IFERROR(INDEX(Logs!$C$2:$C$500,MATCH('Beneficiaries (8)'!$B18,Logs!$A$2:$A$500,0)),"")</f>
        <v>Nogwebela</v>
      </c>
      <c r="E18" s="167" t="str">
        <f>IFERROR(INDEX(Logs!$D$2:$D$500,MATCH('Beneficiaries (8)'!$B18,Logs!$A$2:$A$500,0)),"")</f>
        <v>7911225630087</v>
      </c>
      <c r="F18" s="168" t="s">
        <v>125</v>
      </c>
      <c r="G18" s="165" t="str">
        <f>TheGender(E18)</f>
        <v>M</v>
      </c>
      <c r="H18" s="165" t="s">
        <v>125</v>
      </c>
      <c r="I18" s="165" t="s">
        <v>126</v>
      </c>
      <c r="J18" s="165" t="str">
        <f>IFERROR(INDEX(Logs!$E$2:$E$500,MATCH('Beneficiaries (8)'!$B18,Logs!$A$2:$A$500,0)),"")</f>
        <v>23/01/2023</v>
      </c>
      <c r="K18" s="165" t="str">
        <f>IFERROR(INDEX(Logs!$F$2:$F$500,MATCH('Beneficiaries (8)'!$B18,Logs!$A$2:$A$500,0)),"")</f>
        <v>31/01/2024</v>
      </c>
      <c r="L18" s="165">
        <f>IFERROR(INDEX(Logs!$G$2:$G$500,MATCH('Beneficiaries (8)'!$B18,Logs!$A$2:$A$500,0)),0)</f>
        <v>22</v>
      </c>
      <c r="M18" s="165">
        <v>0</v>
      </c>
      <c r="N18" s="165">
        <f>L18+M18</f>
        <v>22</v>
      </c>
      <c r="O18" s="171">
        <f>IFERROR(INDEX(Logs!$H$2:$H$500,MATCH('Beneficiaries (8)'!$B18,Logs!$A$2:$A$500,0)),)</f>
        <v>204.16</v>
      </c>
      <c r="P18" s="172">
        <f>IFERROR(N18*O18,0)</f>
        <v>4491.5199999999995</v>
      </c>
      <c r="Q18" s="173"/>
      <c r="R18" s="11"/>
    </row>
    <row r="19">
      <c r="A19" s="144" t="str">
        <f>ID_Valid(E19)</f>
      </c>
      <c r="B19" s="165">
        <v>150</v>
      </c>
      <c r="C19" s="166" t="str">
        <f>IFERROR(INDEX(Logs!$B$2:$B$500,MATCH('Beneficiaries (8)'!$B19,Logs!$A$2:$A$500,0)),"")</f>
        <v>Phumlani</v>
      </c>
      <c r="D19" s="166" t="str">
        <f>IFERROR(INDEX(Logs!$C$2:$C$500,MATCH('Beneficiaries (8)'!$B19,Logs!$A$2:$A$500,0)),"")</f>
        <v>Bokwe</v>
      </c>
      <c r="E19" s="167" t="str">
        <f>IFERROR(INDEX(Logs!$D$2:$D$500,MATCH('Beneficiaries (8)'!$B19,Logs!$A$2:$A$500,0)),"")</f>
        <v>9107276378084</v>
      </c>
      <c r="F19" s="168" t="s">
        <v>125</v>
      </c>
      <c r="G19" s="165" t="str">
        <f>TheGender(E19)</f>
        <v>M</v>
      </c>
      <c r="H19" s="165" t="s">
        <v>125</v>
      </c>
      <c r="I19" s="165" t="s">
        <v>126</v>
      </c>
      <c r="J19" s="165" t="str">
        <f>IFERROR(INDEX(Logs!$E$2:$E$500,MATCH('Beneficiaries (8)'!$B19,Logs!$A$2:$A$500,0)),"")</f>
        <v>23/01/2023</v>
      </c>
      <c r="K19" s="165" t="str">
        <f>IFERROR(INDEX(Logs!$F$2:$F$500,MATCH('Beneficiaries (8)'!$B19,Logs!$A$2:$A$500,0)),"")</f>
        <v>31/01/2024</v>
      </c>
      <c r="L19" s="165">
        <f>IFERROR(INDEX(Logs!$G$2:$G$500,MATCH('Beneficiaries (8)'!$B19,Logs!$A$2:$A$500,0)),0)</f>
        <v>22</v>
      </c>
      <c r="M19" s="165">
        <v>0</v>
      </c>
      <c r="N19" s="165">
        <f>L19+M19</f>
        <v>22</v>
      </c>
      <c r="O19" s="171">
        <f>IFERROR(INDEX(Logs!$H$2:$H$500,MATCH('Beneficiaries (8)'!$B19,Logs!$A$2:$A$500,0)),)</f>
        <v>204.16</v>
      </c>
      <c r="P19" s="172">
        <f>IFERROR(N19*O19,0)</f>
        <v>4491.5199999999995</v>
      </c>
      <c r="Q19" s="173"/>
      <c r="R19" s="145" t="s"/>
    </row>
    <row r="20">
      <c r="A20" s="144" t="str">
        <f>ID_Valid(E20)</f>
      </c>
      <c r="B20" s="165">
        <v>151</v>
      </c>
      <c r="C20" s="166" t="str">
        <f>IFERROR(INDEX(Logs!$B$2:$B$500,MATCH('Beneficiaries (8)'!$B20,Logs!$A$2:$A$500,0)),"")</f>
        <v>Nolubabalo</v>
      </c>
      <c r="D20" s="166" t="str">
        <f>IFERROR(INDEX(Logs!$C$2:$C$500,MATCH('Beneficiaries (8)'!$B20,Logs!$A$2:$A$500,0)),"")</f>
        <v>Qinisile</v>
      </c>
      <c r="E20" s="167" t="str">
        <f>IFERROR(INDEX(Logs!$D$2:$D$500,MATCH('Beneficiaries (8)'!$B20,Logs!$A$2:$A$500,0)),"")</f>
        <v>8805081014080</v>
      </c>
      <c r="F20" s="168" t="s">
        <v>125</v>
      </c>
      <c r="G20" s="165" t="str">
        <f>TheGender(E20)</f>
        <v>F</v>
      </c>
      <c r="H20" s="165" t="s">
        <v>125</v>
      </c>
      <c r="I20" s="165" t="s">
        <v>126</v>
      </c>
      <c r="J20" s="165" t="str">
        <f>IFERROR(INDEX(Logs!$E$2:$E$500,MATCH('Beneficiaries (8)'!$B20,Logs!$A$2:$A$500,0)),"")</f>
        <v>23/01/2023</v>
      </c>
      <c r="K20" s="165" t="str">
        <f>IFERROR(INDEX(Logs!$F$2:$F$500,MATCH('Beneficiaries (8)'!$B20,Logs!$A$2:$A$500,0)),"")</f>
        <v>31/01/2024</v>
      </c>
      <c r="L20" s="165">
        <f>IFERROR(INDEX(Logs!$G$2:$G$500,MATCH('Beneficiaries (8)'!$B20,Logs!$A$2:$A$500,0)),0)</f>
        <v>22</v>
      </c>
      <c r="M20" s="165">
        <v>0</v>
      </c>
      <c r="N20" s="165">
        <f>L20+M20</f>
        <v>22</v>
      </c>
      <c r="O20" s="171">
        <f>IFERROR(INDEX(Logs!$H$2:$H$500,MATCH('Beneficiaries (8)'!$B20,Logs!$A$2:$A$500,0)),)</f>
        <v>204.16</v>
      </c>
      <c r="P20" s="172">
        <f>IFERROR(N20*O20,0)</f>
        <v>4491.5199999999995</v>
      </c>
      <c r="Q20" s="173"/>
      <c r="R20" s="145" t="s"/>
    </row>
    <row r="21">
      <c r="A21" s="144" t="str">
        <f>ID_Valid(E21)</f>
      </c>
      <c r="B21" s="165">
        <v>152</v>
      </c>
      <c r="C21" s="166" t="str">
        <f>IFERROR(INDEX(Logs!$B$2:$B$500,MATCH('Beneficiaries (8)'!$B21,Logs!$A$2:$A$500,0)),"")</f>
        <v>Boniswa</v>
      </c>
      <c r="D21" s="166" t="str">
        <f>IFERROR(INDEX(Logs!$C$2:$C$500,MATCH('Beneficiaries (8)'!$B21,Logs!$A$2:$A$500,0)),"")</f>
        <v>Makhala</v>
      </c>
      <c r="E21" s="167" t="str">
        <f>IFERROR(INDEX(Logs!$D$2:$D$500,MATCH('Beneficiaries (8)'!$B21,Logs!$A$2:$A$500,0)),"")</f>
        <v>8507310985086</v>
      </c>
      <c r="F21" s="168" t="s">
        <v>125</v>
      </c>
      <c r="G21" s="165" t="str">
        <f>TheGender(E21)</f>
        <v>F</v>
      </c>
      <c r="H21" s="165" t="s">
        <v>125</v>
      </c>
      <c r="I21" s="165" t="s">
        <v>126</v>
      </c>
      <c r="J21" s="165" t="str">
        <f>IFERROR(INDEX(Logs!$E$2:$E$500,MATCH('Beneficiaries (8)'!$B21,Logs!$A$2:$A$500,0)),"")</f>
        <v>23/01/2023</v>
      </c>
      <c r="K21" s="165" t="str">
        <f>IFERROR(INDEX(Logs!$F$2:$F$500,MATCH('Beneficiaries (8)'!$B21,Logs!$A$2:$A$500,0)),"")</f>
        <v>31/01/2024</v>
      </c>
      <c r="L21" s="165">
        <f>IFERROR(INDEX(Logs!$G$2:$G$500,MATCH('Beneficiaries (8)'!$B21,Logs!$A$2:$A$500,0)),0)</f>
        <v>22</v>
      </c>
      <c r="M21" s="165">
        <v>0</v>
      </c>
      <c r="N21" s="165">
        <f>L21+M21</f>
        <v>22</v>
      </c>
      <c r="O21" s="171">
        <f>IFERROR(INDEX(Logs!$H$2:$H$500,MATCH('Beneficiaries (8)'!$B21,Logs!$A$2:$A$500,0)),)</f>
        <v>204.16</v>
      </c>
      <c r="P21" s="172">
        <f>IFERROR(N21*O21,0)</f>
        <v>4491.5199999999995</v>
      </c>
      <c r="Q21" s="173"/>
      <c r="R21" s="145" t="s"/>
    </row>
    <row r="22">
      <c r="A22" s="144" t="str">
        <f>ID_Valid(E22)</f>
      </c>
      <c r="B22" s="165">
        <v>153</v>
      </c>
      <c r="C22" s="174" t="str">
        <f>IFERROR(INDEX(Logs!$B$2:$B$500,MATCH('Beneficiaries (8)'!$B22,Logs!$A$2:$A$500,0)),"")</f>
        <v>Nkululeko</v>
      </c>
      <c r="D22" s="166" t="str">
        <f>IFERROR(INDEX(Logs!$C$2:$C$500,MATCH('Beneficiaries (8)'!$B22,Logs!$A$2:$A$500,0)),"")</f>
        <v>Yabo</v>
      </c>
      <c r="E22" s="167" t="str">
        <f>IFERROR(INDEX(Logs!$D$2:$D$500,MATCH('Beneficiaries (8)'!$B22,Logs!$A$2:$A$500,0)),"")</f>
        <v>8409226403082</v>
      </c>
      <c r="F22" s="168" t="s">
        <v>125</v>
      </c>
      <c r="G22" s="165" t="str">
        <f>TheGender(E22)</f>
        <v>M</v>
      </c>
      <c r="H22" s="165" t="s">
        <v>125</v>
      </c>
      <c r="I22" s="165" t="s">
        <v>126</v>
      </c>
      <c r="J22" s="165" t="str">
        <f>IFERROR(INDEX(Logs!$E$2:$E$500,MATCH('Beneficiaries (8)'!$B22,Logs!$A$2:$A$500,0)),"")</f>
        <v>01/02/2023</v>
      </c>
      <c r="K22" s="165" t="str">
        <f>IFERROR(INDEX(Logs!$F$2:$F$500,MATCH('Beneficiaries (8)'!$B22,Logs!$A$2:$A$500,0)),"")</f>
        <v>31/01/2024</v>
      </c>
      <c r="L22" s="165">
        <f>IFERROR(INDEX(Logs!$G$2:$G$500,MATCH('Beneficiaries (8)'!$B22,Logs!$A$2:$A$500,0)),0)</f>
        <v>22</v>
      </c>
      <c r="M22" s="165">
        <v>0</v>
      </c>
      <c r="N22" s="165">
        <f>L22+M22</f>
        <v>22</v>
      </c>
      <c r="O22" s="171">
        <f>IFERROR(INDEX(Logs!$H$2:$H$500,MATCH('Beneficiaries (8)'!$B22,Logs!$A$2:$A$500,0)),)</f>
        <v>204.16</v>
      </c>
      <c r="P22" s="172">
        <f>IFERROR(N22*O22,0)</f>
        <v>4491.5199999999995</v>
      </c>
      <c r="Q22" s="173"/>
      <c r="R22" s="145" t="s"/>
    </row>
    <row r="23">
      <c r="A23" s="144" t="str">
        <f>ID_Valid(E23)</f>
      </c>
      <c r="B23" s="165">
        <v>154</v>
      </c>
      <c r="C23" s="174" t="str">
        <f>IFERROR(INDEX(Logs!$B$2:$B$500,MATCH('Beneficiaries (8)'!$B23,Logs!$A$2:$A$500,0)),"")</f>
        <v>Sanele</v>
      </c>
      <c r="D23" s="166" t="str">
        <f>IFERROR(INDEX(Logs!$C$2:$C$500,MATCH('Beneficiaries (8)'!$B23,Logs!$A$2:$A$500,0)),"")</f>
        <v>Tsiba</v>
      </c>
      <c r="E23" s="167" t="str">
        <f>IFERROR(INDEX(Logs!$D$2:$D$500,MATCH('Beneficiaries (8)'!$B23,Logs!$A$2:$A$500,0)),"")</f>
        <v>9405106394085</v>
      </c>
      <c r="F23" s="168" t="s">
        <v>125</v>
      </c>
      <c r="G23" s="165" t="str">
        <f>TheGender(E23)</f>
        <v>M</v>
      </c>
      <c r="H23" s="165" t="s">
        <v>125</v>
      </c>
      <c r="I23" s="165" t="s">
        <v>126</v>
      </c>
      <c r="J23" s="165" t="str">
        <f>IFERROR(INDEX(Logs!$E$2:$E$500,MATCH('Beneficiaries (8)'!$B23,Logs!$A$2:$A$500,0)),"")</f>
        <v>01/02/2023</v>
      </c>
      <c r="K23" s="165" t="str">
        <f>IFERROR(INDEX(Logs!$F$2:$F$500,MATCH('Beneficiaries (8)'!$B23,Logs!$A$2:$A$500,0)),"")</f>
        <v>31/01/2024</v>
      </c>
      <c r="L23" s="165">
        <f>IFERROR(INDEX(Logs!$G$2:$G$500,MATCH('Beneficiaries (8)'!$B23,Logs!$A$2:$A$500,0)),0)</f>
        <v>22</v>
      </c>
      <c r="M23" s="165">
        <v>0</v>
      </c>
      <c r="N23" s="165">
        <f>L23+M23</f>
        <v>22</v>
      </c>
      <c r="O23" s="171">
        <f>IFERROR(INDEX(Logs!$H$2:$H$500,MATCH('Beneficiaries (8)'!$B23,Logs!$A$2:$A$500,0)),)</f>
        <v>204.16</v>
      </c>
      <c r="P23" s="172">
        <f>IFERROR(N23*O23,0)</f>
        <v>4491.5199999999995</v>
      </c>
      <c r="Q23" s="173"/>
      <c r="R23" s="145" t="s"/>
    </row>
    <row r="24">
      <c r="A24" s="144" t="str">
        <f>ID_Valid(E24)</f>
      </c>
      <c r="B24" s="165">
        <v>155</v>
      </c>
      <c r="C24" s="174" t="str">
        <f>IFERROR(INDEX(Logs!$B$2:$B$500,MATCH('Beneficiaries (8)'!$B24,Logs!$A$2:$A$500,0)),"")</f>
        <v>Nolubabalo</v>
      </c>
      <c r="D24" s="166" t="str">
        <f>IFERROR(INDEX(Logs!$C$2:$C$500,MATCH('Beneficiaries (8)'!$B24,Logs!$A$2:$A$500,0)),"")</f>
        <v>Wothini</v>
      </c>
      <c r="E24" s="167" t="str">
        <f>IFERROR(INDEX(Logs!$D$2:$D$500,MATCH('Beneficiaries (8)'!$B24,Logs!$A$2:$A$500,0)),"")</f>
        <v>9008080764081</v>
      </c>
      <c r="F24" s="168" t="s">
        <v>125</v>
      </c>
      <c r="G24" s="165" t="str">
        <f>TheGender(E24)</f>
        <v>F</v>
      </c>
      <c r="H24" s="165" t="s">
        <v>125</v>
      </c>
      <c r="I24" s="165" t="s">
        <v>126</v>
      </c>
      <c r="J24" s="165" t="str">
        <f>IFERROR(INDEX(Logs!$E$2:$E$500,MATCH('Beneficiaries (8)'!$B24,Logs!$A$2:$A$500,0)),"")</f>
        <v>01/02/2023</v>
      </c>
      <c r="K24" s="165" t="str">
        <f>IFERROR(INDEX(Logs!$F$2:$F$500,MATCH('Beneficiaries (8)'!$B24,Logs!$A$2:$A$500,0)),"")</f>
        <v>31/01/2024</v>
      </c>
      <c r="L24" s="165">
        <f>IFERROR(INDEX(Logs!$G$2:$G$500,MATCH('Beneficiaries (8)'!$B24,Logs!$A$2:$A$500,0)),0)</f>
        <v>22</v>
      </c>
      <c r="M24" s="165">
        <v>0</v>
      </c>
      <c r="N24" s="165">
        <f>L24+M24</f>
        <v>22</v>
      </c>
      <c r="O24" s="171">
        <f>IFERROR(INDEX(Logs!$H$2:$H$500,MATCH('Beneficiaries (8)'!$B24,Logs!$A$2:$A$500,0)),)</f>
        <v>204.16</v>
      </c>
      <c r="P24" s="172">
        <f>IFERROR(N24*O24,0)</f>
        <v>4491.5199999999995</v>
      </c>
      <c r="Q24" s="173"/>
      <c r="R24" s="145" t="s"/>
    </row>
    <row r="25">
      <c r="A25" s="144" t="str">
        <f>ID_Valid(E25)</f>
      </c>
      <c r="B25" s="165">
        <v>156</v>
      </c>
      <c r="C25" s="170" t="str">
        <f>IFERROR(INDEX(Logs!$B$2:$B$500,MATCH('Beneficiaries (8)'!$B25,Logs!$A$2:$A$500,0)),"")</f>
        <v>Sandile</v>
      </c>
      <c r="D25" s="166" t="str">
        <f>IFERROR(INDEX(Logs!$C$2:$C$500,MATCH('Beneficiaries (8)'!$B25,Logs!$A$2:$A$500,0)),"")</f>
        <v>Mawase</v>
      </c>
      <c r="E25" s="167" t="str">
        <f>IFERROR(INDEX(Logs!$D$2:$D$500,MATCH('Beneficiaries (8)'!$B25,Logs!$A$2:$A$500,0)),"")</f>
        <v>9006056403080</v>
      </c>
      <c r="F25" s="168" t="s">
        <v>125</v>
      </c>
      <c r="G25" s="165" t="str">
        <f>TheGender(E25)</f>
        <v>M</v>
      </c>
      <c r="H25" s="165" t="s">
        <v>125</v>
      </c>
      <c r="I25" s="165" t="s">
        <v>126</v>
      </c>
      <c r="J25" s="165" t="str">
        <f>IFERROR(INDEX(Logs!$E$2:$E$500,MATCH('Beneficiaries (8)'!$B25,Logs!$A$2:$A$500,0)),"")</f>
        <v>01/02/2023</v>
      </c>
      <c r="K25" s="165" t="str">
        <f>IFERROR(INDEX(Logs!$F$2:$F$500,MATCH('Beneficiaries (8)'!$B25,Logs!$A$2:$A$500,0)),"")</f>
        <v>31/01/2024</v>
      </c>
      <c r="L25" s="165">
        <f>IFERROR(INDEX(Logs!$G$2:$G$500,MATCH('Beneficiaries (8)'!$B25,Logs!$A$2:$A$500,0)),0)</f>
        <v>22</v>
      </c>
      <c r="M25" s="165">
        <v>0</v>
      </c>
      <c r="N25" s="165">
        <f>L25+M25</f>
        <v>22</v>
      </c>
      <c r="O25" s="171">
        <f>IFERROR(INDEX(Logs!$H$2:$H$500,MATCH('Beneficiaries (8)'!$B25,Logs!$A$2:$A$500,0)),)</f>
        <v>204.16</v>
      </c>
      <c r="P25" s="172">
        <f>IFERROR(N25*O25,0)</f>
        <v>4491.5199999999995</v>
      </c>
      <c r="Q25" s="173"/>
      <c r="R25" s="145" t="s"/>
    </row>
    <row r="26">
      <c r="A26" s="144" t="str">
        <f>ID_Valid(E26)</f>
      </c>
      <c r="B26" s="165">
        <v>157</v>
      </c>
      <c r="C26" s="170" t="str">
        <f>IFERROR(INDEX(Logs!$B$2:$B$500,MATCH('Beneficiaries (8)'!$B26,Logs!$A$2:$A$500,0)),"")</f>
        <v>Miliswa</v>
      </c>
      <c r="D26" s="166" t="str">
        <f>IFERROR(INDEX(Logs!$C$2:$C$500,MATCH('Beneficiaries (8)'!$B26,Logs!$A$2:$A$500,0)),"")</f>
        <v>Thelejane</v>
      </c>
      <c r="E26" s="167" t="str">
        <f>IFERROR(INDEX(Logs!$D$2:$D$500,MATCH('Beneficiaries (8)'!$B26,Logs!$A$2:$A$500,0)),"")</f>
        <v>7211110813082</v>
      </c>
      <c r="F26" s="168" t="s">
        <v>125</v>
      </c>
      <c r="G26" s="165" t="str">
        <f>TheGender(E26)</f>
        <v>F</v>
      </c>
      <c r="H26" s="165" t="s">
        <v>125</v>
      </c>
      <c r="I26" s="165" t="s">
        <v>126</v>
      </c>
      <c r="J26" s="165" t="str">
        <f>IFERROR(INDEX(Logs!$E$2:$E$500,MATCH('Beneficiaries (8)'!$B26,Logs!$A$2:$A$500,0)),"")</f>
        <v>01/02/2023</v>
      </c>
      <c r="K26" s="165" t="str">
        <f>IFERROR(INDEX(Logs!$F$2:$F$500,MATCH('Beneficiaries (8)'!$B26,Logs!$A$2:$A$500,0)),"")</f>
        <v>31/01/2024</v>
      </c>
      <c r="L26" s="165">
        <f>IFERROR(INDEX(Logs!$G$2:$G$500,MATCH('Beneficiaries (8)'!$B26,Logs!$A$2:$A$500,0)),0)</f>
        <v>22</v>
      </c>
      <c r="M26" s="165">
        <v>0</v>
      </c>
      <c r="N26" s="165">
        <f>L26+M26</f>
        <v>22</v>
      </c>
      <c r="O26" s="171">
        <f>IFERROR(INDEX(Logs!$H$2:$H$500,MATCH('Beneficiaries (8)'!$B26,Logs!$A$2:$A$500,0)),)</f>
        <v>204.16</v>
      </c>
      <c r="P26" s="172">
        <f>IFERROR(N26*O26,0)</f>
        <v>4491.5199999999995</v>
      </c>
      <c r="Q26" s="173"/>
      <c r="R26" s="145" t="s"/>
    </row>
    <row r="27">
      <c r="A27" s="144" t="str">
        <f>ID_Valid(E27)</f>
      </c>
      <c r="B27" s="165">
        <v>158</v>
      </c>
      <c r="C27" s="170" t="str">
        <f>IFERROR(INDEX(Logs!$B$2:$B$500,MATCH('Beneficiaries (8)'!$B27,Logs!$A$2:$A$500,0)),"")</f>
        <v>Nolusindiso</v>
      </c>
      <c r="D27" s="166" t="str">
        <f>IFERROR(INDEX(Logs!$C$2:$C$500,MATCH('Beneficiaries (8)'!$B27,Logs!$A$2:$A$500,0)),"")</f>
        <v>Sokuyeka</v>
      </c>
      <c r="E27" s="167" t="str">
        <f>IFERROR(INDEX(Logs!$D$2:$D$500,MATCH('Beneficiaries (8)'!$B27,Logs!$A$2:$A$500,0)),"")</f>
        <v>7711160304080</v>
      </c>
      <c r="F27" s="168" t="s">
        <v>125</v>
      </c>
      <c r="G27" s="165" t="str">
        <f>TheGender(E27)</f>
        <v>F</v>
      </c>
      <c r="H27" s="165" t="s">
        <v>125</v>
      </c>
      <c r="I27" s="165" t="s">
        <v>126</v>
      </c>
      <c r="J27" s="165" t="str">
        <f>IFERROR(INDEX(Logs!$E$2:$E$500,MATCH('Beneficiaries (8)'!$B27,Logs!$A$2:$A$500,0)),"")</f>
        <v>03/02/2023</v>
      </c>
      <c r="K27" s="165" t="str">
        <f>IFERROR(INDEX(Logs!$F$2:$F$500,MATCH('Beneficiaries (8)'!$B27,Logs!$A$2:$A$500,0)),"")</f>
        <v>28/02/2024</v>
      </c>
      <c r="L27" s="165">
        <f>IFERROR(INDEX(Logs!$G$2:$G$500,MATCH('Beneficiaries (8)'!$B27,Logs!$A$2:$A$500,0)),0)</f>
        <v>22</v>
      </c>
      <c r="M27" s="165">
        <v>0</v>
      </c>
      <c r="N27" s="165">
        <f>L27+M27</f>
        <v>22</v>
      </c>
      <c r="O27" s="171">
        <f>IFERROR(INDEX(Logs!$H$2:$H$500,MATCH('Beneficiaries (8)'!$B27,Logs!$A$2:$A$500,0)),)</f>
        <v>204.16</v>
      </c>
      <c r="P27" s="172">
        <f>IFERROR(N27*O27,0)</f>
        <v>4491.5199999999995</v>
      </c>
      <c r="Q27" s="173"/>
      <c r="R27" s="145" t="s"/>
    </row>
    <row r="28">
      <c r="A28" s="144" t="str">
        <f>ID_Valid(E28)</f>
      </c>
      <c r="B28" s="165">
        <v>159</v>
      </c>
      <c r="C28" s="170" t="str">
        <f>IFERROR(INDEX(Logs!$B$2:$B$500,MATCH('Beneficiaries (8)'!$B28,Logs!$A$2:$A$500,0)),"")</f>
        <v>Boniswa</v>
      </c>
      <c r="D28" s="166" t="str">
        <f>IFERROR(INDEX(Logs!$C$2:$C$500,MATCH('Beneficiaries (8)'!$B28,Logs!$A$2:$A$500,0)),"")</f>
        <v>Roto</v>
      </c>
      <c r="E28" s="167" t="str">
        <f>IFERROR(INDEX(Logs!$D$2:$D$500,MATCH('Beneficiaries (8)'!$B28,Logs!$A$2:$A$500,0)),"")</f>
        <v>6812120846086</v>
      </c>
      <c r="F28" s="168" t="s">
        <v>125</v>
      </c>
      <c r="G28" s="165" t="str">
        <f>TheGender(E28)</f>
        <v>F</v>
      </c>
      <c r="H28" s="165" t="s">
        <v>125</v>
      </c>
      <c r="I28" s="165" t="s">
        <v>126</v>
      </c>
      <c r="J28" s="165" t="str">
        <f>IFERROR(INDEX(Logs!$E$2:$E$500,MATCH('Beneficiaries (8)'!$B28,Logs!$A$2:$A$500,0)),"")</f>
        <v>03/02/2023</v>
      </c>
      <c r="K28" s="165" t="str">
        <f>IFERROR(INDEX(Logs!$F$2:$F$500,MATCH('Beneficiaries (8)'!$B28,Logs!$A$2:$A$500,0)),"")</f>
        <v>28/02/2024</v>
      </c>
      <c r="L28" s="165">
        <f>IFERROR(INDEX(Logs!$G$2:$G$500,MATCH('Beneficiaries (8)'!$B28,Logs!$A$2:$A$500,0)),0)</f>
        <v>22</v>
      </c>
      <c r="M28" s="165">
        <v>0</v>
      </c>
      <c r="N28" s="165">
        <f>L28+M28</f>
        <v>22</v>
      </c>
      <c r="O28" s="171">
        <f>IFERROR(INDEX(Logs!$H$2:$H$500,MATCH('Beneficiaries (8)'!$B28,Logs!$A$2:$A$500,0)),)</f>
        <v>204.16</v>
      </c>
      <c r="P28" s="172">
        <f>IFERROR(N28*O28,0)</f>
        <v>4491.5199999999995</v>
      </c>
      <c r="Q28" s="173"/>
      <c r="R28" s="145" t="s"/>
    </row>
    <row r="29">
      <c r="A29" s="144" t="str">
        <f>ID_Valid(E29)</f>
      </c>
      <c r="B29" s="165">
        <v>160</v>
      </c>
      <c r="C29" s="170" t="str">
        <f>IFERROR(INDEX(Logs!$B$2:$B$500,MATCH('Beneficiaries (8)'!$B29,Logs!$A$2:$A$500,0)),"")</f>
        <v>Aphiwe</v>
      </c>
      <c r="D29" s="170" t="str">
        <f>IFERROR(INDEX(Logs!$C$2:$C$500,MATCH('Beneficiaries (8)'!$B29,Logs!$A$2:$A$500,0)),"")</f>
        <v>Kaya</v>
      </c>
      <c r="E29" s="167" t="str">
        <f>IFERROR(INDEX(Logs!$D$2:$D$500,MATCH('Beneficiaries (8)'!$B29,Logs!$A$2:$A$500,0)),"")</f>
        <v>8710180437085</v>
      </c>
      <c r="F29" s="168" t="s">
        <v>125</v>
      </c>
      <c r="G29" s="165" t="str">
        <f>TheGender(E29)</f>
        <v>F</v>
      </c>
      <c r="H29" s="165" t="s">
        <v>125</v>
      </c>
      <c r="I29" s="165" t="s">
        <v>126</v>
      </c>
      <c r="J29" s="165" t="str">
        <f>IFERROR(INDEX(Logs!$E$2:$E$500,MATCH('Beneficiaries (8)'!$B29,Logs!$A$2:$A$500,0)),"")</f>
        <v>03/02/2023</v>
      </c>
      <c r="K29" s="165" t="str">
        <f>IFERROR(INDEX(Logs!$F$2:$F$500,MATCH('Beneficiaries (8)'!$B29,Logs!$A$2:$A$500,0)),"")</f>
        <v>28/02/2024</v>
      </c>
      <c r="L29" s="165">
        <f>IFERROR(INDEX(Logs!$G$2:$G$500,MATCH('Beneficiaries (8)'!$B29,Logs!$A$2:$A$500,0)),0)</f>
        <v>22</v>
      </c>
      <c r="M29" s="165">
        <v>0</v>
      </c>
      <c r="N29" s="165">
        <f>L29+M29</f>
        <v>22</v>
      </c>
      <c r="O29" s="171">
        <f>IFERROR(INDEX(Logs!$H$2:$H$500,MATCH('Beneficiaries (8)'!$B29,Logs!$A$2:$A$500,0)),)</f>
        <v>204.16</v>
      </c>
      <c r="P29" s="172">
        <f>IFERROR(N29*O29,0)</f>
        <v>4491.5199999999995</v>
      </c>
      <c r="Q29" s="173"/>
      <c r="R29" s="145" t="s"/>
    </row>
    <row r="30">
      <c r="A30" s="144" t="s"/>
      <c r="B30" s="175"/>
      <c r="C30" s="175"/>
      <c r="D30" s="175"/>
      <c r="E30" s="175"/>
      <c r="F30" s="175"/>
      <c r="G30" s="175"/>
      <c r="H30" s="175"/>
      <c r="I30" s="175"/>
      <c r="J30" s="175"/>
      <c r="K30" s="175"/>
      <c r="L30" s="176">
        <f>SUM(L10:L29)</f>
        <v>439</v>
      </c>
      <c r="M30" s="176">
        <f>SUM(M10:M29)</f>
        <v>0</v>
      </c>
      <c r="N30" s="176">
        <f>SUM(N10:N29)</f>
        <v>439</v>
      </c>
      <c r="O30" s="177">
        <f>SUM(O10:O29)</f>
        <v>4083.1999999999989</v>
      </c>
      <c r="P30" s="178">
        <f>SUM(P10:P29)</f>
        <v>89626.240000000005</v>
      </c>
      <c r="Q30" s="179"/>
      <c r="R30" s="145" t="s"/>
    </row>
    <row r="31" ht="27" customHeight="true">
      <c r="A31" s="144" t="s"/>
      <c r="B31" s="180" t="s">
        <v>127</v>
      </c>
      <c r="C31" s="180"/>
      <c r="D31" s="181" t="s">
        <v>128</v>
      </c>
      <c r="E31" s="153" t="str">
        <f>Project!$G$30</f>
        <v>Benjamin Milandou-Loubeka</v>
      </c>
      <c r="F31" s="153"/>
      <c r="G31" s="153"/>
      <c r="H31" s="153" t="s">
        <v>129</v>
      </c>
      <c r="I31" s="157"/>
      <c r="J31" s="157"/>
      <c r="K31" s="157"/>
      <c r="L31" s="157"/>
      <c r="M31" s="157"/>
      <c r="N31" s="157"/>
      <c r="O31" s="157"/>
      <c r="P31" s="157"/>
      <c r="Q31" s="14"/>
      <c r="R31" s="145" t="s"/>
    </row>
    <row r="32" ht="27" customHeight="true">
      <c r="A32" s="144" t="s"/>
      <c r="B32" s="180"/>
      <c r="C32" s="180"/>
      <c r="D32" s="181" t="s">
        <v>130</v>
      </c>
      <c r="E32" s="182">
        <f>Project!$AN$1</f>
        <v>45199</v>
      </c>
      <c r="F32" s="182"/>
      <c r="G32" s="182"/>
      <c r="H32" s="153"/>
      <c r="I32" s="157"/>
      <c r="J32" s="157"/>
      <c r="K32" s="157"/>
      <c r="L32" s="157"/>
      <c r="M32" s="157"/>
      <c r="N32" s="157"/>
      <c r="O32" s="157"/>
      <c r="P32" s="157"/>
      <c r="Q32" s="14"/>
      <c r="R32" s="145" t="s"/>
    </row>
    <row r="33" ht="14.25" customHeight="true">
      <c r="A33" s="144" t="s"/>
      <c r="B33" s="158"/>
      <c r="C33" s="158"/>
      <c r="D33" s="183"/>
      <c r="E33" s="14"/>
      <c r="F33" s="14"/>
      <c r="G33" s="14"/>
      <c r="H33" s="148"/>
      <c r="I33" s="14"/>
      <c r="J33" s="14"/>
      <c r="K33" s="14"/>
      <c r="L33" s="14"/>
      <c r="M33" s="14"/>
      <c r="N33" s="14"/>
      <c r="O33" s="14"/>
      <c r="P33" s="14"/>
      <c r="Q33" s="14"/>
    </row>
    <row r="34" ht="27" customHeight="true">
      <c r="A34" s="144" t="s"/>
      <c r="B34" s="180" t="s">
        <v>131</v>
      </c>
      <c r="C34" s="180"/>
      <c r="D34" s="181" t="s">
        <v>128</v>
      </c>
      <c r="E34" s="157"/>
      <c r="F34" s="157"/>
      <c r="G34" s="157"/>
      <c r="H34" s="153" t="s">
        <v>129</v>
      </c>
      <c r="I34" s="157"/>
      <c r="J34" s="157"/>
      <c r="K34" s="157"/>
      <c r="L34" s="157"/>
      <c r="M34" s="157"/>
      <c r="N34" s="157"/>
      <c r="O34" s="157"/>
      <c r="P34" s="157"/>
      <c r="Q34" s="14"/>
    </row>
    <row r="35" ht="27" customHeight="true">
      <c r="A35" s="144" t="s"/>
      <c r="B35" s="180"/>
      <c r="C35" s="180"/>
      <c r="D35" s="181" t="s">
        <v>130</v>
      </c>
      <c r="E35" s="157"/>
      <c r="F35" s="157"/>
      <c r="G35" s="157"/>
      <c r="H35" s="153"/>
      <c r="I35" s="157"/>
      <c r="J35" s="157"/>
      <c r="K35" s="157"/>
      <c r="L35" s="157"/>
      <c r="M35" s="157"/>
      <c r="N35" s="157"/>
      <c r="O35" s="157"/>
      <c r="P35" s="157"/>
      <c r="Q35" s="14"/>
    </row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>
      <c r="A74" s="144" t="s"/>
      <c r="B74" s="14"/>
    </row>
  </sheetData>
  <dataValidations count="1">
    <dataValidation allowBlank="true" showInputMessage="true" showErrorMessage="true" promptTitle="Month" type="" sqref="I6">
      <formula1/>
    </dataValidation>
  </dataValidations>
  <mergeCells count="14">
    <mergeCell ref="B3:P3"/>
    <mergeCell ref="B5:C6"/>
    <mergeCell ref="D5:E6"/>
    <mergeCell ref="K5:M5"/>
    <mergeCell ref="B31:C32"/>
    <mergeCell ref="E31:G31"/>
    <mergeCell ref="H31:H32"/>
    <mergeCell ref="I31:P32"/>
    <mergeCell ref="E32:G32"/>
    <mergeCell ref="B34:C35"/>
    <mergeCell ref="E34:G34"/>
    <mergeCell ref="H34:H35"/>
    <mergeCell ref="I34:P35"/>
    <mergeCell ref="E35:G35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10.xml><?xml version="1.0" encoding="utf-8"?>
<worksheet xmlns="http://schemas.openxmlformats.org/spreadsheetml/2006/main">
  <sheetPr filterMode="false">
    <pageSetUpPr fitToPage="false"/>
  </sheetPr>
  <dimension ref="A1:R74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85546875" defaultRowHeight="12.75"/>
  <cols>
    <col collapsed="false" hidden="false" max="1" min="1" style="144" width="20.7109375" customWidth="true"/>
    <col collapsed="false" hidden="false" max="2" min="2" style="1" width="4.42578125" customWidth="true"/>
    <col collapsed="false" hidden="false" max="5" min="3" style="1" width="24.42578125" customWidth="true"/>
    <col collapsed="false" hidden="false" max="5" min="3" style="1" width="24.42578125" customWidth="true"/>
    <col collapsed="false" hidden="false" max="5" min="3" style="1" width="24.42578125" customWidth="true"/>
    <col collapsed="false" hidden="false" max="6" min="6" style="1" width="10.140625" customWidth="true"/>
    <col collapsed="false" hidden="false" max="9" min="7" style="1" width="8.85546875" customWidth="true"/>
    <col collapsed="false" hidden="false" max="9" min="7" style="1" width="8.85546875" customWidth="true"/>
    <col collapsed="false" hidden="false" max="9" min="7" style="1" width="8.85546875" customWidth="true"/>
    <col collapsed="false" hidden="false" max="11" min="10" style="1" width="10.140625" customWidth="true"/>
    <col collapsed="false" hidden="false" max="11" min="10" style="1" width="10.14062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7" min="16" style="1" width="14.5703125" customWidth="true"/>
    <col collapsed="false" hidden="false" max="17" min="16" style="1" width="14.5703125" customWidth="true"/>
    <col collapsed="false" hidden="false" max="18" min="18" style="145" width="8.85546875" customWidth="true"/>
  </cols>
  <sheetData>
    <row r="1">
      <c r="A1" s="144" t="s"/>
      <c r="B1" s="146" t="s">
        <v>96</v>
      </c>
      <c r="C1" s="2"/>
      <c r="D1" s="2"/>
      <c r="E1" s="147" t="s">
        <v>2</v>
      </c>
      <c r="F1" s="1" t="s"/>
      <c r="G1" s="2"/>
      <c r="H1" s="2"/>
      <c r="I1" s="2"/>
      <c r="J1" s="1" t="s"/>
      <c r="K1" s="1" t="s"/>
      <c r="L1" s="1" t="s"/>
      <c r="M1" s="1" t="s"/>
      <c r="N1" s="1" t="s"/>
      <c r="O1" s="1" t="s"/>
      <c r="P1" s="1" t="s"/>
      <c r="Q1" s="1" t="s"/>
      <c r="R1" s="11">
        <f>IF(Beneficiaries!$P$30&gt;0,1,"")</f>
        <v>1</v>
      </c>
    </row>
    <row r="2">
      <c r="A2" s="144" t="s"/>
      <c r="B2" s="1" t="s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11">
        <f>IF('Beneficiaries (2)'!$P$30&gt;0,1,"")</f>
        <v>1</v>
      </c>
    </row>
    <row r="3">
      <c r="A3" s="144" t="s"/>
      <c r="B3" s="148" t="s">
        <v>97</v>
      </c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1">
        <f>IF('Beneficiaries (3)'!$P$30&gt;0,1,"")</f>
        <v>1</v>
      </c>
    </row>
    <row r="4">
      <c r="A4" s="144" t="s"/>
      <c r="B4" s="1" t="s"/>
      <c r="C4" s="146"/>
      <c r="D4" s="146"/>
      <c r="E4" s="146"/>
      <c r="F4" s="146"/>
      <c r="G4" s="146"/>
      <c r="H4" s="1" t="s"/>
      <c r="I4" s="1" t="s"/>
      <c r="J4" s="1" t="s"/>
      <c r="K4" s="1" t="s"/>
      <c r="L4" s="1" t="s"/>
      <c r="M4" s="1" t="s"/>
      <c r="N4" s="1" t="s"/>
      <c r="O4" s="1" t="s"/>
      <c r="P4" s="1" t="s"/>
      <c r="Q4" s="1" t="s"/>
      <c r="R4" s="11">
        <f>IF('Beneficiaries (4)'!$P$30&gt;0,1,"")</f>
        <v>1</v>
      </c>
    </row>
    <row r="5" ht="12.75" customHeight="true">
      <c r="A5" s="144" t="s"/>
      <c r="B5" s="149" t="s">
        <v>98</v>
      </c>
      <c r="C5" s="150"/>
      <c r="D5" s="151" t="str">
        <f>Project!$Z$25</f>
        <v>WSDS/24/111i</v>
      </c>
      <c r="E5" s="151"/>
      <c r="F5" s="152"/>
      <c r="G5" s="1" t="s"/>
      <c r="H5" s="153" t="s">
        <v>99</v>
      </c>
      <c r="I5" s="153" t="s">
        <v>100</v>
      </c>
      <c r="J5" s="146"/>
      <c r="K5" s="154" t="s">
        <v>101</v>
      </c>
      <c r="L5" s="154"/>
      <c r="M5" s="154"/>
      <c r="N5" s="39"/>
      <c r="O5" s="39"/>
      <c r="P5" s="146"/>
      <c r="Q5" s="146"/>
      <c r="R5" s="11">
        <f>IF('Beneficiaries (5)'!$P$30&gt;0,1,"")</f>
        <v>1</v>
      </c>
    </row>
    <row r="6">
      <c r="A6" s="144" t="s"/>
      <c r="B6" s="155"/>
      <c r="C6" s="156"/>
      <c r="D6" s="151"/>
      <c r="E6" s="151"/>
      <c r="F6" s="152"/>
      <c r="G6" s="1" t="s"/>
      <c r="H6" s="109" t="str">
        <f>TEXT(Project!$AN$1,"YYYY")</f>
        <v>2023</v>
      </c>
      <c r="I6" s="109" t="str">
        <f>TEXT(Project!$AN$1,"MMMM")</f>
        <v>September</v>
      </c>
      <c r="J6" s="7"/>
      <c r="K6" s="157">
        <v>1</v>
      </c>
      <c r="L6" s="154" t="s">
        <v>102</v>
      </c>
      <c r="M6" s="154">
        <f>IF(K6&gt;0,COUNT(R1:R20),"")</f>
        <v>14</v>
      </c>
      <c r="N6" s="39"/>
      <c r="O6" s="39"/>
      <c r="P6" s="14"/>
      <c r="Q6" s="14"/>
      <c r="R6" s="11">
        <f>IF('Beneficiaries (6)'!$P$30&gt;0,1,"")</f>
        <v>1</v>
      </c>
    </row>
    <row r="7">
      <c r="A7" s="144" t="s"/>
      <c r="B7" s="158"/>
      <c r="C7" s="158"/>
      <c r="D7" s="158"/>
      <c r="E7" s="14"/>
      <c r="F7" s="14"/>
      <c r="G7" s="1" t="s"/>
      <c r="H7" s="7"/>
      <c r="I7" s="7"/>
      <c r="J7" s="7"/>
      <c r="K7" s="14"/>
      <c r="L7" s="39"/>
      <c r="M7" s="39"/>
      <c r="N7" s="39"/>
      <c r="O7" s="39"/>
      <c r="P7" s="14"/>
      <c r="Q7" s="14"/>
      <c r="R7" s="11">
        <f>IF('Beneficiaries (7)'!$P$30&gt;0,1,"")</f>
        <v>1</v>
      </c>
    </row>
    <row r="8">
      <c r="A8" s="144" t="s"/>
      <c r="B8" s="159"/>
      <c r="C8" s="160" t="s">
        <v>103</v>
      </c>
      <c r="D8" s="160" t="s">
        <v>103</v>
      </c>
      <c r="E8" s="160" t="s">
        <v>103</v>
      </c>
      <c r="F8" s="160" t="s">
        <v>104</v>
      </c>
      <c r="G8" s="159"/>
      <c r="H8" s="159"/>
      <c r="I8" s="160" t="s">
        <v>105</v>
      </c>
      <c r="J8" s="159"/>
      <c r="K8" s="160" t="s">
        <v>106</v>
      </c>
      <c r="L8" s="160" t="s">
        <v>107</v>
      </c>
      <c r="M8" s="160" t="s">
        <v>108</v>
      </c>
      <c r="N8" s="160"/>
      <c r="O8" s="160" t="s">
        <v>109</v>
      </c>
      <c r="P8" s="160"/>
      <c r="Q8" s="161"/>
      <c r="R8" s="11">
        <f>IF('Beneficiaries (8)'!$P$30&gt;0,1,"")</f>
        <v>1</v>
      </c>
    </row>
    <row r="9">
      <c r="A9" s="144" t="s"/>
      <c r="B9" s="162" t="s">
        <v>110</v>
      </c>
      <c r="C9" s="162" t="s">
        <v>111</v>
      </c>
      <c r="D9" s="162" t="s">
        <v>112</v>
      </c>
      <c r="E9" s="162" t="s">
        <v>113</v>
      </c>
      <c r="F9" s="163" t="s">
        <v>114</v>
      </c>
      <c r="G9" s="163" t="s">
        <v>115</v>
      </c>
      <c r="H9" s="163" t="s">
        <v>116</v>
      </c>
      <c r="I9" s="163" t="s">
        <v>117</v>
      </c>
      <c r="J9" s="163" t="s">
        <v>118</v>
      </c>
      <c r="K9" s="163" t="s">
        <v>119</v>
      </c>
      <c r="L9" s="163" t="s">
        <v>120</v>
      </c>
      <c r="M9" s="163" t="s">
        <v>121</v>
      </c>
      <c r="N9" s="163" t="s">
        <v>122</v>
      </c>
      <c r="O9" s="163" t="s">
        <v>123</v>
      </c>
      <c r="P9" s="163" t="s">
        <v>124</v>
      </c>
      <c r="Q9" s="164"/>
      <c r="R9" s="11">
        <f>IF('Beneficiaries (9)'!$P$30&gt;0,1,"")</f>
        <v>1</v>
      </c>
    </row>
    <row r="10">
      <c r="A10" s="144" t="str">
        <f>ID_Valid(E10)</f>
      </c>
      <c r="B10" s="165">
        <v>161</v>
      </c>
      <c r="C10" s="166" t="str">
        <f>IFERROR(INDEX(Logs!$B$2:$B$500,MATCH('Beneficiaries (9)'!$B10,Logs!$A$2:$A$500,0)),"")</f>
        <v>Thandiwe</v>
      </c>
      <c r="D10" s="166" t="str">
        <f>IFERROR(INDEX(Logs!$C$2:$C$500,MATCH('Beneficiaries (9)'!$B10,Logs!$A$2:$A$500,0)),"")</f>
        <v>Mafani</v>
      </c>
      <c r="E10" s="167" t="str">
        <f>IFERROR(INDEX(Logs!$D$2:$D$500,MATCH('Beneficiaries (9)'!$B10,Logs!$A$2:$A$500,0)),"")</f>
        <v>8502080749085</v>
      </c>
      <c r="F10" s="168" t="s">
        <v>125</v>
      </c>
      <c r="G10" s="165" t="str">
        <f>TheGender(E10)</f>
        <v>F</v>
      </c>
      <c r="H10" s="165" t="s">
        <v>125</v>
      </c>
      <c r="I10" s="169" t="s">
        <v>126</v>
      </c>
      <c r="J10" s="170" t="str">
        <f>IFERROR(INDEX(Logs!$E$2:$E$500,MATCH('Beneficiaries (9)'!$B10,Logs!$A$2:$A$500,0)),"")</f>
      </c>
      <c r="K10" s="170" t="str">
        <f>IFERROR(INDEX(Logs!$F$2:$F$500,MATCH('Beneficiaries (9)'!$B10,Logs!$A$2:$A$500,0)),"")</f>
        <v>28/02/2024</v>
      </c>
      <c r="L10" s="165">
        <f>IFERROR(INDEX(Logs!$G$2:$G$500,MATCH('Beneficiaries (9)'!$B10,Logs!$A$2:$A$500,0)),0)</f>
        <v>22</v>
      </c>
      <c r="M10" s="165">
        <v>0</v>
      </c>
      <c r="N10" s="165">
        <f>M10+L10</f>
        <v>22</v>
      </c>
      <c r="O10" s="171">
        <f>IFERROR(INDEX(Logs!$H$2:$H$500,MATCH('Beneficiaries (9)'!$B10,Logs!$A$2:$A$500,0)),)</f>
        <v>204.16</v>
      </c>
      <c r="P10" s="172">
        <f>IFERROR(N10*O10,0)</f>
        <v>4491.5199999999995</v>
      </c>
      <c r="Q10" s="173"/>
      <c r="R10" s="11">
        <f>IF('Beneficiaries (10)'!$P$30&gt;0,1,"")</f>
        <v>1</v>
      </c>
    </row>
    <row r="11">
      <c r="A11" s="144" t="str">
        <f>ID_Valid(E11)</f>
      </c>
      <c r="B11" s="165">
        <v>162</v>
      </c>
      <c r="C11" s="166" t="str">
        <f>IFERROR(INDEX(Logs!$B$2:$B$500,MATCH('Beneficiaries (9)'!$B11,Logs!$A$2:$A$500,0)),"")</f>
        <v>Noxolo</v>
      </c>
      <c r="D11" s="166" t="str">
        <f>IFERROR(INDEX(Logs!$C$2:$C$500,MATCH('Beneficiaries (9)'!$B11,Logs!$A$2:$A$500,0)),"")</f>
        <v>Mtimkhulu</v>
      </c>
      <c r="E11" s="167" t="str">
        <f>IFERROR(INDEX(Logs!$D$2:$D$500,MATCH('Beneficiaries (9)'!$B11,Logs!$A$2:$A$500,0)),"")</f>
        <v>8507071646083</v>
      </c>
      <c r="F11" s="168" t="s">
        <v>125</v>
      </c>
      <c r="G11" s="165" t="str">
        <f>TheGender(E11)</f>
        <v>F</v>
      </c>
      <c r="H11" s="165" t="s">
        <v>125</v>
      </c>
      <c r="I11" s="165" t="s">
        <v>126</v>
      </c>
      <c r="J11" s="165" t="str">
        <f>IFERROR(INDEX(Logs!$E$2:$E$500,MATCH('Beneficiaries (9)'!$B11,Logs!$A$2:$A$500,0)),"")</f>
        <v>03/02/2023</v>
      </c>
      <c r="K11" s="165" t="str">
        <f>IFERROR(INDEX(Logs!$F$2:$F$500,MATCH('Beneficiaries (9)'!$B11,Logs!$A$2:$A$500,0)),"")</f>
        <v>28/02/2024</v>
      </c>
      <c r="L11" s="165">
        <f>IFERROR(INDEX(Logs!$G$2:$G$500,MATCH('Beneficiaries (9)'!$B11,Logs!$A$2:$A$500,0)),0)</f>
        <v>22</v>
      </c>
      <c r="M11" s="165">
        <v>0</v>
      </c>
      <c r="N11" s="165">
        <f>L11+M11</f>
        <v>22</v>
      </c>
      <c r="O11" s="171">
        <f>IFERROR(INDEX(Logs!$H$2:$H$500,MATCH('Beneficiaries (9)'!$B11,Logs!$A$2:$A$500,0)),)</f>
        <v>204.16</v>
      </c>
      <c r="P11" s="172">
        <f>IFERROR(N11*O11,0)</f>
        <v>4491.5199999999995</v>
      </c>
      <c r="Q11" s="173"/>
      <c r="R11" s="11">
        <f>IF('Beneficiaries (11)'!$P$30&gt;0,1,"")</f>
        <v>1</v>
      </c>
    </row>
    <row r="12">
      <c r="A12" s="144" t="str">
        <f>ID_Valid(E12)</f>
      </c>
      <c r="B12" s="165">
        <v>163</v>
      </c>
      <c r="C12" s="166" t="str">
        <f>IFERROR(INDEX(Logs!$B$2:$B$500,MATCH('Beneficiaries (9)'!$B12,Logs!$A$2:$A$500,0)),"")</f>
        <v>Nomonde</v>
      </c>
      <c r="D12" s="166" t="str">
        <f>IFERROR(INDEX(Logs!$C$2:$C$500,MATCH('Beneficiaries (9)'!$B12,Logs!$A$2:$A$500,0)),"")</f>
        <v>Mngcoko</v>
      </c>
      <c r="E12" s="167" t="str">
        <f>IFERROR(INDEX(Logs!$D$2:$D$500,MATCH('Beneficiaries (9)'!$B12,Logs!$A$2:$A$500,0)),"")</f>
        <v>7604230632087</v>
      </c>
      <c r="F12" s="168" t="s">
        <v>125</v>
      </c>
      <c r="G12" s="165" t="str">
        <f>TheGender(E12)</f>
        <v>F</v>
      </c>
      <c r="H12" s="165" t="s">
        <v>125</v>
      </c>
      <c r="I12" s="165" t="s">
        <v>126</v>
      </c>
      <c r="J12" s="165" t="str">
        <f>IFERROR(INDEX(Logs!$E$2:$E$500,MATCH('Beneficiaries (9)'!$B12,Logs!$A$2:$A$500,0)),"")</f>
        <v>03/02/2023</v>
      </c>
      <c r="K12" s="165" t="str">
        <f>IFERROR(INDEX(Logs!$F$2:$F$500,MATCH('Beneficiaries (9)'!$B12,Logs!$A$2:$A$500,0)),"")</f>
        <v>28/02/2024</v>
      </c>
      <c r="L12" s="165">
        <f>IFERROR(INDEX(Logs!$G$2:$G$500,MATCH('Beneficiaries (9)'!$B12,Logs!$A$2:$A$500,0)),0)</f>
        <v>22</v>
      </c>
      <c r="M12" s="165">
        <v>0</v>
      </c>
      <c r="N12" s="165">
        <f>L12+M12</f>
        <v>22</v>
      </c>
      <c r="O12" s="171">
        <f>IFERROR(INDEX(Logs!$H$2:$H$500,MATCH('Beneficiaries (9)'!$B12,Logs!$A$2:$A$500,0)),)</f>
        <v>204.16</v>
      </c>
      <c r="P12" s="172">
        <f>IFERROR(N12*O12,0)</f>
        <v>4491.5199999999995</v>
      </c>
      <c r="Q12" s="173"/>
      <c r="R12" s="11">
        <f>IF('Beneficiaries (12)'!$P$30&gt;0,1,"")</f>
        <v>1</v>
      </c>
    </row>
    <row r="13">
      <c r="A13" s="144" t="str">
        <f>ID_Valid(E13)</f>
      </c>
      <c r="B13" s="165">
        <v>164</v>
      </c>
      <c r="C13" s="166" t="str">
        <f>IFERROR(INDEX(Logs!$B$2:$B$500,MATCH('Beneficiaries (9)'!$B13,Logs!$A$2:$A$500,0)),"")</f>
        <v>Feziwe</v>
      </c>
      <c r="D13" s="166" t="str">
        <f>IFERROR(INDEX(Logs!$C$2:$C$500,MATCH('Beneficiaries (9)'!$B13,Logs!$A$2:$A$500,0)),"")</f>
        <v>Makhanda</v>
      </c>
      <c r="E13" s="167" t="str">
        <f>IFERROR(INDEX(Logs!$D$2:$D$500,MATCH('Beneficiaries (9)'!$B13,Logs!$A$2:$A$500,0)),"")</f>
        <v>9302091069089</v>
      </c>
      <c r="F13" s="168" t="s">
        <v>125</v>
      </c>
      <c r="G13" s="165" t="str">
        <f>TheGender(E13)</f>
        <v>F</v>
      </c>
      <c r="H13" s="165" t="s">
        <v>125</v>
      </c>
      <c r="I13" s="165" t="s">
        <v>126</v>
      </c>
      <c r="J13" s="165" t="str">
        <f>IFERROR(INDEX(Logs!$E$2:$E$500,MATCH('Beneficiaries (9)'!$B13,Logs!$A$2:$A$500,0)),"")</f>
        <v>06/02/2023</v>
      </c>
      <c r="K13" s="165" t="str">
        <f>IFERROR(INDEX(Logs!$F$2:$F$500,MATCH('Beneficiaries (9)'!$B13,Logs!$A$2:$A$500,0)),"")</f>
        <v>28/02/2024</v>
      </c>
      <c r="L13" s="165">
        <f>IFERROR(INDEX(Logs!$G$2:$G$500,MATCH('Beneficiaries (9)'!$B13,Logs!$A$2:$A$500,0)),0)</f>
        <v>22</v>
      </c>
      <c r="M13" s="165">
        <v>0</v>
      </c>
      <c r="N13" s="165">
        <f>L13+M13</f>
        <v>22</v>
      </c>
      <c r="O13" s="171">
        <f>IFERROR(INDEX(Logs!$H$2:$H$500,MATCH('Beneficiaries (9)'!$B13,Logs!$A$2:$A$500,0)),)</f>
        <v>204.16</v>
      </c>
      <c r="P13" s="172">
        <f>IFERROR(N13*O13,0)</f>
        <v>4491.5199999999995</v>
      </c>
      <c r="Q13" s="173"/>
      <c r="R13" s="11">
        <f>IF('Beneficiaries (13)'!$P$30&gt;0,1,"")</f>
        <v>1</v>
      </c>
    </row>
    <row r="14">
      <c r="A14" s="144" t="str">
        <f>ID_Valid(E14)</f>
      </c>
      <c r="B14" s="165">
        <v>165</v>
      </c>
      <c r="C14" s="166" t="str">
        <f>IFERROR(INDEX(Logs!$B$2:$B$500,MATCH('Beneficiaries (9)'!$B14,Logs!$A$2:$A$500,0)),"")</f>
        <v>Sibabalwe</v>
      </c>
      <c r="D14" s="166" t="str">
        <f>IFERROR(INDEX(Logs!$C$2:$C$500,MATCH('Beneficiaries (9)'!$B14,Logs!$A$2:$A$500,0)),"")</f>
        <v>Philiso</v>
      </c>
      <c r="E14" s="167" t="str">
        <f>IFERROR(INDEX(Logs!$D$2:$D$500,MATCH('Beneficiaries (9)'!$B14,Logs!$A$2:$A$500,0)),"")</f>
        <v>9609180851080</v>
      </c>
      <c r="F14" s="168" t="s">
        <v>125</v>
      </c>
      <c r="G14" s="165" t="str">
        <f>TheGender(E14)</f>
        <v>F</v>
      </c>
      <c r="H14" s="165" t="s">
        <v>125</v>
      </c>
      <c r="I14" s="165" t="s">
        <v>126</v>
      </c>
      <c r="J14" s="165" t="str">
        <f>IFERROR(INDEX(Logs!$E$2:$E$500,MATCH('Beneficiaries (9)'!$B14,Logs!$A$2:$A$500,0)),"")</f>
        <v>06/02/2023</v>
      </c>
      <c r="K14" s="165" t="str">
        <f>IFERROR(INDEX(Logs!$F$2:$F$500,MATCH('Beneficiaries (9)'!$B14,Logs!$A$2:$A$500,0)),"")</f>
        <v>28/02/2024</v>
      </c>
      <c r="L14" s="165">
        <f>IFERROR(INDEX(Logs!$G$2:$G$500,MATCH('Beneficiaries (9)'!$B14,Logs!$A$2:$A$500,0)),0)</f>
        <v>22</v>
      </c>
      <c r="M14" s="165">
        <v>0</v>
      </c>
      <c r="N14" s="165">
        <f>L14+M14</f>
        <v>22</v>
      </c>
      <c r="O14" s="171">
        <f>IFERROR(INDEX(Logs!$H$2:$H$500,MATCH('Beneficiaries (9)'!$B14,Logs!$A$2:$A$500,0)),)</f>
        <v>204.16</v>
      </c>
      <c r="P14" s="172">
        <f>IFERROR(N14*O14,0)</f>
        <v>4491.5199999999995</v>
      </c>
      <c r="Q14" s="173"/>
      <c r="R14" s="11">
        <f>IF('Beneficiaries (14)'!$P$30&gt;0,1,"")</f>
        <v>1</v>
      </c>
    </row>
    <row r="15">
      <c r="A15" s="144" t="str">
        <f>ID_Valid(E15)</f>
      </c>
      <c r="B15" s="165">
        <v>166</v>
      </c>
      <c r="C15" s="166" t="str">
        <f>IFERROR(INDEX(Logs!$B$2:$B$500,MATCH('Beneficiaries (9)'!$B15,Logs!$A$2:$A$500,0)),"")</f>
        <v>Zintle</v>
      </c>
      <c r="D15" s="166" t="str">
        <f>IFERROR(INDEX(Logs!$C$2:$C$500,MATCH('Beneficiaries (9)'!$B15,Logs!$A$2:$A$500,0)),"")</f>
        <v>Layini</v>
      </c>
      <c r="E15" s="167" t="str">
        <f>IFERROR(INDEX(Logs!$D$2:$D$500,MATCH('Beneficiaries (9)'!$B15,Logs!$A$2:$A$500,0)),"")</f>
        <v>9703271183089</v>
      </c>
      <c r="F15" s="168" t="s">
        <v>125</v>
      </c>
      <c r="G15" s="165" t="str">
        <f>TheGender(E15)</f>
        <v>F</v>
      </c>
      <c r="H15" s="165" t="s">
        <v>125</v>
      </c>
      <c r="I15" s="165" t="s">
        <v>126</v>
      </c>
      <c r="J15" s="165" t="str">
        <f>IFERROR(INDEX(Logs!$E$2:$E$500,MATCH('Beneficiaries (9)'!$B15,Logs!$A$2:$A$500,0)),"")</f>
        <v>06/02/2023</v>
      </c>
      <c r="K15" s="165" t="str">
        <f>IFERROR(INDEX(Logs!$F$2:$F$500,MATCH('Beneficiaries (9)'!$B15,Logs!$A$2:$A$500,0)),"")</f>
        <v>28/02/2024</v>
      </c>
      <c r="L15" s="165">
        <f>IFERROR(INDEX(Logs!$G$2:$G$500,MATCH('Beneficiaries (9)'!$B15,Logs!$A$2:$A$500,0)),0)</f>
        <v>22</v>
      </c>
      <c r="M15" s="165">
        <v>0</v>
      </c>
      <c r="N15" s="165">
        <f>L15+M15</f>
        <v>22</v>
      </c>
      <c r="O15" s="171">
        <f>IFERROR(INDEX(Logs!$H$2:$H$500,MATCH('Beneficiaries (9)'!$B15,Logs!$A$2:$A$500,0)),)</f>
        <v>204.16</v>
      </c>
      <c r="P15" s="172">
        <f>IFERROR(N15*O15,0)</f>
        <v>4491.5199999999995</v>
      </c>
      <c r="Q15" s="173"/>
      <c r="R15" s="11"/>
    </row>
    <row r="16">
      <c r="A16" s="144" t="str">
        <f>ID_Valid(E16)</f>
      </c>
      <c r="B16" s="165">
        <v>167</v>
      </c>
      <c r="C16" s="166" t="str">
        <f>IFERROR(INDEX(Logs!$B$2:$B$500,MATCH('Beneficiaries (9)'!$B16,Logs!$A$2:$A$500,0)),"")</f>
        <v>Nolwandle</v>
      </c>
      <c r="D16" s="166" t="str">
        <f>IFERROR(INDEX(Logs!$C$2:$C$500,MATCH('Beneficiaries (9)'!$B16,Logs!$A$2:$A$500,0)),"")</f>
        <v>Ndibongo</v>
      </c>
      <c r="E16" s="167" t="str">
        <f>IFERROR(INDEX(Logs!$D$2:$D$500,MATCH('Beneficiaries (9)'!$B16,Logs!$A$2:$A$500,0)),"")</f>
        <v>7112121188086</v>
      </c>
      <c r="F16" s="168" t="s">
        <v>125</v>
      </c>
      <c r="G16" s="165" t="str">
        <f>TheGender(E16)</f>
        <v>F</v>
      </c>
      <c r="H16" s="165" t="s">
        <v>125</v>
      </c>
      <c r="I16" s="165" t="s">
        <v>126</v>
      </c>
      <c r="J16" s="165" t="str">
        <f>IFERROR(INDEX(Logs!$E$2:$E$500,MATCH('Beneficiaries (9)'!$B16,Logs!$A$2:$A$500,0)),"")</f>
        <v>06/02/2023</v>
      </c>
      <c r="K16" s="165" t="str">
        <f>IFERROR(INDEX(Logs!$F$2:$F$500,MATCH('Beneficiaries (9)'!$B16,Logs!$A$2:$A$500,0)),"")</f>
        <v>28/02/2024</v>
      </c>
      <c r="L16" s="165">
        <f>IFERROR(INDEX(Logs!$G$2:$G$500,MATCH('Beneficiaries (9)'!$B16,Logs!$A$2:$A$500,0)),0)</f>
        <v>22</v>
      </c>
      <c r="M16" s="165">
        <v>0</v>
      </c>
      <c r="N16" s="165">
        <f>L16+M16</f>
        <v>22</v>
      </c>
      <c r="O16" s="171">
        <f>IFERROR(INDEX(Logs!$H$2:$H$500,MATCH('Beneficiaries (9)'!$B16,Logs!$A$2:$A$500,0)),)</f>
        <v>204.16</v>
      </c>
      <c r="P16" s="172">
        <f>IFERROR(N16*O16,0)</f>
        <v>4491.5199999999995</v>
      </c>
      <c r="Q16" s="173"/>
      <c r="R16" s="11"/>
    </row>
    <row r="17">
      <c r="A17" s="144" t="str">
        <f>ID_Valid(E17)</f>
      </c>
      <c r="B17" s="165">
        <v>168</v>
      </c>
      <c r="C17" s="166" t="str">
        <f>IFERROR(INDEX(Logs!$B$2:$B$500,MATCH('Beneficiaries (9)'!$B17,Logs!$A$2:$A$500,0)),"")</f>
        <v>Vuyolwethu</v>
      </c>
      <c r="D17" s="166" t="str">
        <f>IFERROR(INDEX(Logs!$C$2:$C$500,MATCH('Beneficiaries (9)'!$B17,Logs!$A$2:$A$500,0)),"")</f>
        <v>Jim</v>
      </c>
      <c r="E17" s="167" t="str">
        <f>IFERROR(INDEX(Logs!$D$2:$D$500,MATCH('Beneficiaries (9)'!$B17,Logs!$A$2:$A$500,0)),"")</f>
        <v>9708116170084</v>
      </c>
      <c r="F17" s="168" t="s">
        <v>125</v>
      </c>
      <c r="G17" s="165" t="str">
        <f>TheGender(E17)</f>
        <v>M</v>
      </c>
      <c r="H17" s="165" t="s">
        <v>125</v>
      </c>
      <c r="I17" s="165" t="s">
        <v>126</v>
      </c>
      <c r="J17" s="165" t="str">
        <f>IFERROR(INDEX(Logs!$E$2:$E$500,MATCH('Beneficiaries (9)'!$B17,Logs!$A$2:$A$500,0)),"")</f>
        <v>01/02/2023</v>
      </c>
      <c r="K17" s="165" t="str">
        <f>IFERROR(INDEX(Logs!$F$2:$F$500,MATCH('Beneficiaries (9)'!$B17,Logs!$A$2:$A$500,0)),"")</f>
        <v>31/01/2024</v>
      </c>
      <c r="L17" s="165">
        <f>IFERROR(INDEX(Logs!$G$2:$G$500,MATCH('Beneficiaries (9)'!$B17,Logs!$A$2:$A$500,0)),0)</f>
        <v>22</v>
      </c>
      <c r="M17" s="165">
        <v>0</v>
      </c>
      <c r="N17" s="165">
        <f>L17+M17</f>
        <v>22</v>
      </c>
      <c r="O17" s="171">
        <f>IFERROR(INDEX(Logs!$H$2:$H$500,MATCH('Beneficiaries (9)'!$B17,Logs!$A$2:$A$500,0)),)</f>
        <v>204.16</v>
      </c>
      <c r="P17" s="172">
        <f>IFERROR(N17*O17,0)</f>
        <v>4491.5199999999995</v>
      </c>
      <c r="Q17" s="173"/>
    </row>
    <row r="18">
      <c r="A18" s="144" t="str">
        <f>ID_Valid(E18)</f>
      </c>
      <c r="B18" s="165">
        <v>169</v>
      </c>
      <c r="C18" s="166" t="str">
        <f>IFERROR(INDEX(Logs!$B$2:$B$500,MATCH('Beneficiaries (9)'!$B18,Logs!$A$2:$A$500,0)),"")</f>
        <v>Keneuoe</v>
      </c>
      <c r="D18" s="166" t="str">
        <f>IFERROR(INDEX(Logs!$C$2:$C$500,MATCH('Beneficiaries (9)'!$B18,Logs!$A$2:$A$500,0)),"")</f>
        <v>Moletsane</v>
      </c>
      <c r="E18" s="167" t="str">
        <f>IFERROR(INDEX(Logs!$D$2:$D$500,MATCH('Beneficiaries (9)'!$B18,Logs!$A$2:$A$500,0)),"")</f>
        <v>8804190890084</v>
      </c>
      <c r="F18" s="168" t="s">
        <v>125</v>
      </c>
      <c r="G18" s="165" t="str">
        <f>TheGender(E18)</f>
        <v>F</v>
      </c>
      <c r="H18" s="165" t="s">
        <v>125</v>
      </c>
      <c r="I18" s="165" t="s">
        <v>126</v>
      </c>
      <c r="J18" s="165" t="str">
        <f>IFERROR(INDEX(Logs!$E$2:$E$500,MATCH('Beneficiaries (9)'!$B18,Logs!$A$2:$A$500,0)),"")</f>
        <v>01/03/2023</v>
      </c>
      <c r="K18" s="165" t="str">
        <f>IFERROR(INDEX(Logs!$F$2:$F$500,MATCH('Beneficiaries (9)'!$B18,Logs!$A$2:$A$500,0)),"")</f>
        <v>28/02/2024</v>
      </c>
      <c r="L18" s="165">
        <f>IFERROR(INDEX(Logs!$G$2:$G$500,MATCH('Beneficiaries (9)'!$B18,Logs!$A$2:$A$500,0)),0)</f>
        <v>26</v>
      </c>
      <c r="M18" s="165">
        <v>0</v>
      </c>
      <c r="N18" s="165">
        <f>L18+M18</f>
        <v>26</v>
      </c>
      <c r="O18" s="171">
        <f>IFERROR(INDEX(Logs!$H$2:$H$500,MATCH('Beneficiaries (9)'!$B18,Logs!$A$2:$A$500,0)),)</f>
        <v>204.16</v>
      </c>
      <c r="P18" s="172">
        <f>IFERROR(N18*O18,0)</f>
        <v>5308.16</v>
      </c>
      <c r="Q18" s="173"/>
    </row>
    <row r="19">
      <c r="A19" s="144" t="str">
        <f>ID_Valid(E19)</f>
        <v>INVALID ID - Month</v>
      </c>
      <c r="B19" s="165">
        <v>170</v>
      </c>
      <c r="C19" s="166" t="str">
        <f>IFERROR(INDEX(Logs!$B$2:$B$500,MATCH('Beneficiaries (9)'!$B19,Logs!$A$2:$A$500,0)),"")</f>
        <v>Zoleka</v>
      </c>
      <c r="D19" s="166" t="str">
        <f>IFERROR(INDEX(Logs!$C$2:$C$500,MATCH('Beneficiaries (9)'!$B19,Logs!$A$2:$A$500,0)),"")</f>
        <v>Foloti</v>
      </c>
      <c r="E19" s="167" t="str">
        <f>IFERROR(INDEX(Logs!$D$2:$D$500,MATCH('Beneficiaries (9)'!$B19,Logs!$A$2:$A$500,0)),"")</f>
        <v>8596260853088</v>
      </c>
      <c r="F19" s="168" t="s">
        <v>125</v>
      </c>
      <c r="G19" s="165" t="str">
        <f>TheGender(E19)</f>
        <v>F</v>
      </c>
      <c r="H19" s="165" t="s">
        <v>125</v>
      </c>
      <c r="I19" s="165" t="s">
        <v>126</v>
      </c>
      <c r="J19" s="165" t="str">
        <f>IFERROR(INDEX(Logs!$E$2:$E$500,MATCH('Beneficiaries (9)'!$B19,Logs!$A$2:$A$500,0)),"")</f>
        <v>01/03/2023</v>
      </c>
      <c r="K19" s="165" t="str">
        <f>IFERROR(INDEX(Logs!$F$2:$F$500,MATCH('Beneficiaries (9)'!$B19,Logs!$A$2:$A$500,0)),"")</f>
        <v>28/02/2024</v>
      </c>
      <c r="L19" s="165">
        <f>IFERROR(INDEX(Logs!$G$2:$G$500,MATCH('Beneficiaries (9)'!$B19,Logs!$A$2:$A$500,0)),0)</f>
        <v>26</v>
      </c>
      <c r="M19" s="165">
        <v>0</v>
      </c>
      <c r="N19" s="165">
        <f>L19+M19</f>
        <v>26</v>
      </c>
      <c r="O19" s="171">
        <f>IFERROR(INDEX(Logs!$H$2:$H$500,MATCH('Beneficiaries (9)'!$B19,Logs!$A$2:$A$500,0)),)</f>
        <v>204.16</v>
      </c>
      <c r="P19" s="172">
        <f>IFERROR(N19*O19,0)</f>
        <v>5308.16</v>
      </c>
      <c r="Q19" s="173"/>
    </row>
    <row r="20">
      <c r="A20" s="144" t="str">
        <f>ID_Valid(E20)</f>
      </c>
      <c r="B20" s="165">
        <v>171</v>
      </c>
      <c r="C20" s="166" t="str">
        <f>IFERROR(INDEX(Logs!$B$2:$B$500,MATCH('Beneficiaries (9)'!$B20,Logs!$A$2:$A$500,0)),"")</f>
        <v>Anathi</v>
      </c>
      <c r="D20" s="166" t="str">
        <f>IFERROR(INDEX(Logs!$C$2:$C$500,MATCH('Beneficiaries (9)'!$B20,Logs!$A$2:$A$500,0)),"")</f>
        <v>Dodo</v>
      </c>
      <c r="E20" s="167" t="str">
        <f>IFERROR(INDEX(Logs!$D$2:$D$500,MATCH('Beneficiaries (9)'!$B20,Logs!$A$2:$A$500,0)),"")</f>
        <v>8910250935089</v>
      </c>
      <c r="F20" s="168" t="s">
        <v>125</v>
      </c>
      <c r="G20" s="165" t="str">
        <f>TheGender(E20)</f>
        <v>F</v>
      </c>
      <c r="H20" s="165" t="s">
        <v>125</v>
      </c>
      <c r="I20" s="165" t="s">
        <v>126</v>
      </c>
      <c r="J20" s="165" t="str">
        <f>IFERROR(INDEX(Logs!$E$2:$E$500,MATCH('Beneficiaries (9)'!$B20,Logs!$A$2:$A$500,0)),"")</f>
        <v>01/03/2023</v>
      </c>
      <c r="K20" s="165" t="str">
        <f>IFERROR(INDEX(Logs!$F$2:$F$500,MATCH('Beneficiaries (9)'!$B20,Logs!$A$2:$A$500,0)),"")</f>
        <v>28/02/2024</v>
      </c>
      <c r="L20" s="165">
        <f>IFERROR(INDEX(Logs!$G$2:$G$500,MATCH('Beneficiaries (9)'!$B20,Logs!$A$2:$A$500,0)),0)</f>
        <v>22</v>
      </c>
      <c r="M20" s="165">
        <v>0</v>
      </c>
      <c r="N20" s="165">
        <f>L20+M20</f>
        <v>22</v>
      </c>
      <c r="O20" s="171">
        <f>IFERROR(INDEX(Logs!$H$2:$H$500,MATCH('Beneficiaries (9)'!$B20,Logs!$A$2:$A$500,0)),)</f>
        <v>204.16</v>
      </c>
      <c r="P20" s="172">
        <f>IFERROR(N20*O20,0)</f>
        <v>4491.5199999999995</v>
      </c>
      <c r="Q20" s="173"/>
    </row>
    <row r="21">
      <c r="A21" s="144" t="str">
        <f>ID_Valid(E21)</f>
      </c>
      <c r="B21" s="165">
        <v>172</v>
      </c>
      <c r="C21" s="166" t="str">
        <f>IFERROR(INDEX(Logs!$B$2:$B$500,MATCH('Beneficiaries (9)'!$B21,Logs!$A$2:$A$500,0)),"")</f>
        <v>Andisiwe</v>
      </c>
      <c r="D21" s="166" t="str">
        <f>IFERROR(INDEX(Logs!$C$2:$C$500,MATCH('Beneficiaries (9)'!$B21,Logs!$A$2:$A$500,0)),"")</f>
        <v>Somwahla</v>
      </c>
      <c r="E21" s="167" t="str">
        <f>IFERROR(INDEX(Logs!$D$2:$D$500,MATCH('Beneficiaries (9)'!$B21,Logs!$A$2:$A$500,0)),"")</f>
        <v>9410050467085</v>
      </c>
      <c r="F21" s="168" t="s">
        <v>125</v>
      </c>
      <c r="G21" s="165" t="str">
        <f>TheGender(E21)</f>
        <v>F</v>
      </c>
      <c r="H21" s="165" t="s">
        <v>125</v>
      </c>
      <c r="I21" s="165" t="s">
        <v>126</v>
      </c>
      <c r="J21" s="165" t="str">
        <f>IFERROR(INDEX(Logs!$E$2:$E$500,MATCH('Beneficiaries (9)'!$B21,Logs!$A$2:$A$500,0)),"")</f>
        <v>01/03/2023</v>
      </c>
      <c r="K21" s="165" t="str">
        <f>IFERROR(INDEX(Logs!$F$2:$F$500,MATCH('Beneficiaries (9)'!$B21,Logs!$A$2:$A$500,0)),"")</f>
        <v>28/02/2024</v>
      </c>
      <c r="L21" s="165">
        <f>IFERROR(INDEX(Logs!$G$2:$G$500,MATCH('Beneficiaries (9)'!$B21,Logs!$A$2:$A$500,0)),0)</f>
        <v>22</v>
      </c>
      <c r="M21" s="165">
        <v>0</v>
      </c>
      <c r="N21" s="165">
        <f>L21+M21</f>
        <v>22</v>
      </c>
      <c r="O21" s="171">
        <f>IFERROR(INDEX(Logs!$H$2:$H$500,MATCH('Beneficiaries (9)'!$B21,Logs!$A$2:$A$500,0)),)</f>
        <v>204.16</v>
      </c>
      <c r="P21" s="172">
        <f>IFERROR(N21*O21,0)</f>
        <v>4491.5199999999995</v>
      </c>
      <c r="Q21" s="173"/>
    </row>
    <row r="22">
      <c r="A22" s="144" t="str">
        <f>ID_Valid(E22)</f>
      </c>
      <c r="B22" s="165">
        <v>173</v>
      </c>
      <c r="C22" s="174" t="str">
        <f>IFERROR(INDEX(Logs!$B$2:$B$500,MATCH('Beneficiaries (9)'!$B22,Logs!$A$2:$A$500,0)),"")</f>
        <v>Asive</v>
      </c>
      <c r="D22" s="166" t="str">
        <f>IFERROR(INDEX(Logs!$C$2:$C$500,MATCH('Beneficiaries (9)'!$B22,Logs!$A$2:$A$500,0)),"")</f>
        <v>Katsikatsi</v>
      </c>
      <c r="E22" s="167" t="str">
        <f>IFERROR(INDEX(Logs!$D$2:$D$500,MATCH('Beneficiaries (9)'!$B22,Logs!$A$2:$A$500,0)),"")</f>
        <v>9503160411082</v>
      </c>
      <c r="F22" s="168" t="s">
        <v>125</v>
      </c>
      <c r="G22" s="165" t="str">
        <f>TheGender(E22)</f>
        <v>F</v>
      </c>
      <c r="H22" s="165" t="s">
        <v>125</v>
      </c>
      <c r="I22" s="165" t="s">
        <v>126</v>
      </c>
      <c r="J22" s="165" t="str">
        <f>IFERROR(INDEX(Logs!$E$2:$E$500,MATCH('Beneficiaries (9)'!$B22,Logs!$A$2:$A$500,0)),"")</f>
        <v>01/03/2023</v>
      </c>
      <c r="K22" s="165" t="str">
        <f>IFERROR(INDEX(Logs!$F$2:$F$500,MATCH('Beneficiaries (9)'!$B22,Logs!$A$2:$A$500,0)),"")</f>
        <v>28/02/2024</v>
      </c>
      <c r="L22" s="165">
        <f>IFERROR(INDEX(Logs!$G$2:$G$500,MATCH('Beneficiaries (9)'!$B22,Logs!$A$2:$A$500,0)),0)</f>
        <v>22</v>
      </c>
      <c r="M22" s="165">
        <v>0</v>
      </c>
      <c r="N22" s="165">
        <f>L22+M22</f>
        <v>22</v>
      </c>
      <c r="O22" s="171">
        <f>IFERROR(INDEX(Logs!$H$2:$H$500,MATCH('Beneficiaries (9)'!$B22,Logs!$A$2:$A$500,0)),)</f>
        <v>204.16</v>
      </c>
      <c r="P22" s="172">
        <f>IFERROR(N22*O22,0)</f>
        <v>4491.5199999999995</v>
      </c>
      <c r="Q22" s="173"/>
    </row>
    <row r="23">
      <c r="A23" s="144" t="str">
        <f>ID_Valid(E23)</f>
      </c>
      <c r="B23" s="165">
        <v>174</v>
      </c>
      <c r="C23" s="174" t="str">
        <f>IFERROR(INDEX(Logs!$B$2:$B$500,MATCH('Beneficiaries (9)'!$B23,Logs!$A$2:$A$500,0)),"")</f>
        <v>Asive</v>
      </c>
      <c r="D23" s="166" t="str">
        <f>IFERROR(INDEX(Logs!$C$2:$C$500,MATCH('Beneficiaries (9)'!$B23,Logs!$A$2:$A$500,0)),"")</f>
        <v>Mbuwa</v>
      </c>
      <c r="E23" s="167" t="str">
        <f>IFERROR(INDEX(Logs!$D$2:$D$500,MATCH('Beneficiaries (9)'!$B23,Logs!$A$2:$A$500,0)),"")</f>
        <v>9307121051080</v>
      </c>
      <c r="F23" s="168" t="s">
        <v>125</v>
      </c>
      <c r="G23" s="165" t="str">
        <f>TheGender(E23)</f>
        <v>F</v>
      </c>
      <c r="H23" s="165" t="s">
        <v>125</v>
      </c>
      <c r="I23" s="165" t="s">
        <v>126</v>
      </c>
      <c r="J23" s="165" t="str">
        <f>IFERROR(INDEX(Logs!$E$2:$E$500,MATCH('Beneficiaries (9)'!$B23,Logs!$A$2:$A$500,0)),"")</f>
        <v>01/03/2023</v>
      </c>
      <c r="K23" s="165" t="str">
        <f>IFERROR(INDEX(Logs!$F$2:$F$500,MATCH('Beneficiaries (9)'!$B23,Logs!$A$2:$A$500,0)),"")</f>
        <v>28/02/2024</v>
      </c>
      <c r="L23" s="165">
        <f>IFERROR(INDEX(Logs!$G$2:$G$500,MATCH('Beneficiaries (9)'!$B23,Logs!$A$2:$A$500,0)),0)</f>
        <v>22</v>
      </c>
      <c r="M23" s="165">
        <v>0</v>
      </c>
      <c r="N23" s="165">
        <f>L23+M23</f>
        <v>22</v>
      </c>
      <c r="O23" s="171">
        <f>IFERROR(INDEX(Logs!$H$2:$H$500,MATCH('Beneficiaries (9)'!$B23,Logs!$A$2:$A$500,0)),)</f>
        <v>204.16</v>
      </c>
      <c r="P23" s="172">
        <f>IFERROR(N23*O23,0)</f>
        <v>4491.5199999999995</v>
      </c>
      <c r="Q23" s="173"/>
    </row>
    <row r="24">
      <c r="A24" s="144" t="str">
        <f>ID_Valid(E24)</f>
      </c>
      <c r="B24" s="165">
        <v>175</v>
      </c>
      <c r="C24" s="174" t="str">
        <f>IFERROR(INDEX(Logs!$B$2:$B$500,MATCH('Beneficiaries (9)'!$B24,Logs!$A$2:$A$500,0)),"")</f>
        <v>Faniswa</v>
      </c>
      <c r="D24" s="166" t="str">
        <f>IFERROR(INDEX(Logs!$C$2:$C$500,MATCH('Beneficiaries (9)'!$B24,Logs!$A$2:$A$500,0)),"")</f>
        <v>Lahloma</v>
      </c>
      <c r="E24" s="167" t="str">
        <f>IFERROR(INDEX(Logs!$D$2:$D$500,MATCH('Beneficiaries (9)'!$B24,Logs!$A$2:$A$500,0)),"")</f>
        <v>7406100815085</v>
      </c>
      <c r="F24" s="168" t="s">
        <v>125</v>
      </c>
      <c r="G24" s="165" t="str">
        <f>TheGender(E24)</f>
        <v>F</v>
      </c>
      <c r="H24" s="165" t="s">
        <v>125</v>
      </c>
      <c r="I24" s="165" t="s">
        <v>126</v>
      </c>
      <c r="J24" s="165" t="str">
        <f>IFERROR(INDEX(Logs!$E$2:$E$500,MATCH('Beneficiaries (9)'!$B24,Logs!$A$2:$A$500,0)),"")</f>
        <v>01/03/2023</v>
      </c>
      <c r="K24" s="165" t="str">
        <f>IFERROR(INDEX(Logs!$F$2:$F$500,MATCH('Beneficiaries (9)'!$B24,Logs!$A$2:$A$500,0)),"")</f>
        <v>28/02/2024</v>
      </c>
      <c r="L24" s="165">
        <f>IFERROR(INDEX(Logs!$G$2:$G$500,MATCH('Beneficiaries (9)'!$B24,Logs!$A$2:$A$500,0)),0)</f>
        <v>22</v>
      </c>
      <c r="M24" s="165">
        <v>0</v>
      </c>
      <c r="N24" s="165">
        <f>L24+M24</f>
        <v>22</v>
      </c>
      <c r="O24" s="171">
        <f>IFERROR(INDEX(Logs!$H$2:$H$500,MATCH('Beneficiaries (9)'!$B24,Logs!$A$2:$A$500,0)),)</f>
        <v>204.16</v>
      </c>
      <c r="P24" s="172">
        <f>IFERROR(N24*O24,0)</f>
        <v>4491.5199999999995</v>
      </c>
      <c r="Q24" s="173"/>
    </row>
    <row r="25">
      <c r="A25" s="144" t="str">
        <f>ID_Valid(E25)</f>
      </c>
      <c r="B25" s="165">
        <v>176</v>
      </c>
      <c r="C25" s="170" t="str">
        <f>IFERROR(INDEX(Logs!$B$2:$B$500,MATCH('Beneficiaries (9)'!$B25,Logs!$A$2:$A$500,0)),"")</f>
        <v>Bongani</v>
      </c>
      <c r="D25" s="166" t="str">
        <f>IFERROR(INDEX(Logs!$C$2:$C$500,MATCH('Beneficiaries (9)'!$B25,Logs!$A$2:$A$500,0)),"")</f>
        <v>Mayila</v>
      </c>
      <c r="E25" s="167" t="str">
        <f>IFERROR(INDEX(Logs!$D$2:$D$500,MATCH('Beneficiaries (9)'!$B25,Logs!$A$2:$A$500,0)),"")</f>
        <v>7301115772084</v>
      </c>
      <c r="F25" s="168" t="s">
        <v>125</v>
      </c>
      <c r="G25" s="165" t="str">
        <f>TheGender(E25)</f>
        <v>M</v>
      </c>
      <c r="H25" s="165" t="s">
        <v>125</v>
      </c>
      <c r="I25" s="165" t="s">
        <v>126</v>
      </c>
      <c r="J25" s="165" t="str">
        <f>IFERROR(INDEX(Logs!$E$2:$E$500,MATCH('Beneficiaries (9)'!$B25,Logs!$A$2:$A$500,0)),"")</f>
        <v>01/03/2023</v>
      </c>
      <c r="K25" s="165" t="str">
        <f>IFERROR(INDEX(Logs!$F$2:$F$500,MATCH('Beneficiaries (9)'!$B25,Logs!$A$2:$A$500,0)),"")</f>
        <v>28/02/2024</v>
      </c>
      <c r="L25" s="165">
        <f>IFERROR(INDEX(Logs!$G$2:$G$500,MATCH('Beneficiaries (9)'!$B25,Logs!$A$2:$A$500,0)),0)</f>
        <v>22</v>
      </c>
      <c r="M25" s="165">
        <v>0</v>
      </c>
      <c r="N25" s="165">
        <f>L25+M25</f>
        <v>22</v>
      </c>
      <c r="O25" s="171">
        <f>IFERROR(INDEX(Logs!$H$2:$H$500,MATCH('Beneficiaries (9)'!$B25,Logs!$A$2:$A$500,0)),)</f>
        <v>204.16</v>
      </c>
      <c r="P25" s="172">
        <f>IFERROR(N25*O25,0)</f>
        <v>4491.5199999999995</v>
      </c>
      <c r="Q25" s="173"/>
    </row>
    <row r="26">
      <c r="A26" s="144" t="str">
        <f>ID_Valid(E26)</f>
      </c>
      <c r="B26" s="165">
        <v>177</v>
      </c>
      <c r="C26" s="170" t="str">
        <f>IFERROR(INDEX(Logs!$B$2:$B$500,MATCH('Beneficiaries (9)'!$B26,Logs!$A$2:$A$500,0)),"")</f>
        <v>Nicholas</v>
      </c>
      <c r="D26" s="166" t="str">
        <f>IFERROR(INDEX(Logs!$C$2:$C$500,MATCH('Beneficiaries (9)'!$B26,Logs!$A$2:$A$500,0)),"")</f>
        <v>Maxolo</v>
      </c>
      <c r="E26" s="167" t="str">
        <f>IFERROR(INDEX(Logs!$D$2:$D$500,MATCH('Beneficiaries (9)'!$B26,Logs!$A$2:$A$500,0)),"")</f>
        <v>8506165941087</v>
      </c>
      <c r="F26" s="168" t="s">
        <v>125</v>
      </c>
      <c r="G26" s="165" t="str">
        <f>TheGender(E26)</f>
        <v>M</v>
      </c>
      <c r="H26" s="165" t="s">
        <v>125</v>
      </c>
      <c r="I26" s="165" t="s">
        <v>126</v>
      </c>
      <c r="J26" s="165" t="str">
        <f>IFERROR(INDEX(Logs!$E$2:$E$500,MATCH('Beneficiaries (9)'!$B26,Logs!$A$2:$A$500,0)),"")</f>
        <v>01/03/2023</v>
      </c>
      <c r="K26" s="165" t="str">
        <f>IFERROR(INDEX(Logs!$F$2:$F$500,MATCH('Beneficiaries (9)'!$B26,Logs!$A$2:$A$500,0)),"")</f>
        <v>28/02/2024</v>
      </c>
      <c r="L26" s="165">
        <f>IFERROR(INDEX(Logs!$G$2:$G$500,MATCH('Beneficiaries (9)'!$B26,Logs!$A$2:$A$500,0)),0)</f>
        <v>22</v>
      </c>
      <c r="M26" s="165">
        <v>0</v>
      </c>
      <c r="N26" s="165">
        <f>L26+M26</f>
        <v>22</v>
      </c>
      <c r="O26" s="171">
        <f>IFERROR(INDEX(Logs!$H$2:$H$500,MATCH('Beneficiaries (9)'!$B26,Logs!$A$2:$A$500,0)),)</f>
        <v>204.16</v>
      </c>
      <c r="P26" s="172">
        <f>IFERROR(N26*O26,0)</f>
        <v>4491.5199999999995</v>
      </c>
      <c r="Q26" s="173"/>
    </row>
    <row r="27">
      <c r="A27" s="144" t="str">
        <f>ID_Valid(E27)</f>
      </c>
      <c r="B27" s="165">
        <v>178</v>
      </c>
      <c r="C27" s="170" t="str">
        <f>IFERROR(INDEX(Logs!$B$2:$B$500,MATCH('Beneficiaries (9)'!$B27,Logs!$A$2:$A$500,0)),"")</f>
        <v>Nikelwa</v>
      </c>
      <c r="D27" s="166" t="str">
        <f>IFERROR(INDEX(Logs!$C$2:$C$500,MATCH('Beneficiaries (9)'!$B27,Logs!$A$2:$A$500,0)),"")</f>
        <v>Mnqetha</v>
      </c>
      <c r="E27" s="167" t="str">
        <f>IFERROR(INDEX(Logs!$D$2:$D$500,MATCH('Beneficiaries (9)'!$B27,Logs!$A$2:$A$500,0)),"")</f>
        <v>9009021159084</v>
      </c>
      <c r="F27" s="168" t="s">
        <v>125</v>
      </c>
      <c r="G27" s="165" t="str">
        <f>TheGender(E27)</f>
        <v>F</v>
      </c>
      <c r="H27" s="165" t="s">
        <v>125</v>
      </c>
      <c r="I27" s="165" t="s">
        <v>126</v>
      </c>
      <c r="J27" s="165" t="str">
        <f>IFERROR(INDEX(Logs!$E$2:$E$500,MATCH('Beneficiaries (9)'!$B27,Logs!$A$2:$A$500,0)),"")</f>
        <v>01/03/2023</v>
      </c>
      <c r="K27" s="165" t="str">
        <f>IFERROR(INDEX(Logs!$F$2:$F$500,MATCH('Beneficiaries (9)'!$B27,Logs!$A$2:$A$500,0)),"")</f>
        <v>28/02/2024</v>
      </c>
      <c r="L27" s="165">
        <f>IFERROR(INDEX(Logs!$G$2:$G$500,MATCH('Beneficiaries (9)'!$B27,Logs!$A$2:$A$500,0)),0)</f>
        <v>22</v>
      </c>
      <c r="M27" s="165">
        <v>0</v>
      </c>
      <c r="N27" s="165">
        <f>L27+M27</f>
        <v>22</v>
      </c>
      <c r="O27" s="171">
        <f>IFERROR(INDEX(Logs!$H$2:$H$500,MATCH('Beneficiaries (9)'!$B27,Logs!$A$2:$A$500,0)),)</f>
        <v>204.16</v>
      </c>
      <c r="P27" s="172">
        <f>IFERROR(N27*O27,0)</f>
        <v>4491.5199999999995</v>
      </c>
      <c r="Q27" s="173"/>
    </row>
    <row r="28">
      <c r="A28" s="144" t="str">
        <f>ID_Valid(E28)</f>
      </c>
      <c r="B28" s="165">
        <v>179</v>
      </c>
      <c r="C28" s="170" t="str">
        <f>IFERROR(INDEX(Logs!$B$2:$B$500,MATCH('Beneficiaries (9)'!$B28,Logs!$A$2:$A$500,0)),"")</f>
        <v>Nleboheng</v>
      </c>
      <c r="D28" s="166" t="str">
        <f>IFERROR(INDEX(Logs!$C$2:$C$500,MATCH('Beneficiaries (9)'!$B28,Logs!$A$2:$A$500,0)),"")</f>
        <v>Kasibe</v>
      </c>
      <c r="E28" s="167" t="str">
        <f>IFERROR(INDEX(Logs!$D$2:$D$500,MATCH('Beneficiaries (9)'!$B28,Logs!$A$2:$A$500,0)),"")</f>
        <v>8102130441088</v>
      </c>
      <c r="F28" s="168" t="s">
        <v>125</v>
      </c>
      <c r="G28" s="165" t="str">
        <f>TheGender(E28)</f>
        <v>F</v>
      </c>
      <c r="H28" s="165" t="s">
        <v>125</v>
      </c>
      <c r="I28" s="165" t="s">
        <v>126</v>
      </c>
      <c r="J28" s="165" t="str">
        <f>IFERROR(INDEX(Logs!$E$2:$E$500,MATCH('Beneficiaries (9)'!$B28,Logs!$A$2:$A$500,0)),"")</f>
        <v>01/03/2023</v>
      </c>
      <c r="K28" s="165" t="str">
        <f>IFERROR(INDEX(Logs!$F$2:$F$500,MATCH('Beneficiaries (9)'!$B28,Logs!$A$2:$A$500,0)),"")</f>
        <v>28/02/2024</v>
      </c>
      <c r="L28" s="165">
        <f>IFERROR(INDEX(Logs!$G$2:$G$500,MATCH('Beneficiaries (9)'!$B28,Logs!$A$2:$A$500,0)),0)</f>
        <v>22</v>
      </c>
      <c r="M28" s="165">
        <v>0</v>
      </c>
      <c r="N28" s="165">
        <f>L28+M28</f>
        <v>22</v>
      </c>
      <c r="O28" s="171">
        <f>IFERROR(INDEX(Logs!$H$2:$H$500,MATCH('Beneficiaries (9)'!$B28,Logs!$A$2:$A$500,0)),)</f>
        <v>204.16</v>
      </c>
      <c r="P28" s="172">
        <f>IFERROR(N28*O28,0)</f>
        <v>4491.5199999999995</v>
      </c>
      <c r="Q28" s="173"/>
    </row>
    <row r="29">
      <c r="A29" s="144" t="str">
        <f>ID_Valid(E29)</f>
      </c>
      <c r="B29" s="165">
        <v>180</v>
      </c>
      <c r="C29" s="170" t="str">
        <f>IFERROR(INDEX(Logs!$B$2:$B$500,MATCH('Beneficiaries (9)'!$B29,Logs!$A$2:$A$500,0)),"")</f>
        <v>Nokwanda</v>
      </c>
      <c r="D29" s="170" t="str">
        <f>IFERROR(INDEX(Logs!$C$2:$C$500,MATCH('Beneficiaries (9)'!$B29,Logs!$A$2:$A$500,0)),"")</f>
        <v>Mgxaji</v>
      </c>
      <c r="E29" s="167" t="str">
        <f>IFERROR(INDEX(Logs!$D$2:$D$500,MATCH('Beneficiaries (9)'!$B29,Logs!$A$2:$A$500,0)),"")</f>
        <v>8702201284083</v>
      </c>
      <c r="F29" s="168" t="s">
        <v>125</v>
      </c>
      <c r="G29" s="165" t="str">
        <f>TheGender(E29)</f>
        <v>F</v>
      </c>
      <c r="H29" s="165" t="s">
        <v>125</v>
      </c>
      <c r="I29" s="165" t="s">
        <v>126</v>
      </c>
      <c r="J29" s="165" t="str">
        <f>IFERROR(INDEX(Logs!$E$2:$E$500,MATCH('Beneficiaries (9)'!$B29,Logs!$A$2:$A$500,0)),"")</f>
        <v>01/03/2023</v>
      </c>
      <c r="K29" s="165" t="str">
        <f>IFERROR(INDEX(Logs!$F$2:$F$500,MATCH('Beneficiaries (9)'!$B29,Logs!$A$2:$A$500,0)),"")</f>
        <v>28/02/2024</v>
      </c>
      <c r="L29" s="165">
        <f>IFERROR(INDEX(Logs!$G$2:$G$500,MATCH('Beneficiaries (9)'!$B29,Logs!$A$2:$A$500,0)),0)</f>
        <v>22</v>
      </c>
      <c r="M29" s="165">
        <v>0</v>
      </c>
      <c r="N29" s="165">
        <f>L29+M29</f>
        <v>22</v>
      </c>
      <c r="O29" s="171">
        <f>IFERROR(INDEX(Logs!$H$2:$H$500,MATCH('Beneficiaries (9)'!$B29,Logs!$A$2:$A$500,0)),)</f>
        <v>204.16</v>
      </c>
      <c r="P29" s="172">
        <f>IFERROR(N29*O29,0)</f>
        <v>4491.5199999999995</v>
      </c>
      <c r="Q29" s="173"/>
    </row>
    <row r="30">
      <c r="A30" s="144" t="s"/>
      <c r="B30" s="175"/>
      <c r="C30" s="175"/>
      <c r="D30" s="175"/>
      <c r="E30" s="175"/>
      <c r="F30" s="175"/>
      <c r="G30" s="175"/>
      <c r="H30" s="175"/>
      <c r="I30" s="175"/>
      <c r="J30" s="175"/>
      <c r="K30" s="175"/>
      <c r="L30" s="176">
        <f>SUM(L10:L29)</f>
        <v>448</v>
      </c>
      <c r="M30" s="176">
        <f>SUM(M10:M29)</f>
        <v>0</v>
      </c>
      <c r="N30" s="176">
        <f>SUM(N10:N29)</f>
        <v>448</v>
      </c>
      <c r="O30" s="177">
        <f>SUM(O10:O29)</f>
        <v>4083.1999999999989</v>
      </c>
      <c r="P30" s="178">
        <f>SUM(P10:P29)</f>
        <v>91463.680000000008</v>
      </c>
      <c r="Q30" s="179"/>
    </row>
    <row r="31" ht="27" customHeight="true">
      <c r="A31" s="144" t="s"/>
      <c r="B31" s="180" t="s">
        <v>127</v>
      </c>
      <c r="C31" s="180"/>
      <c r="D31" s="181" t="s">
        <v>128</v>
      </c>
      <c r="E31" s="153" t="str">
        <f>Project!$G$30</f>
        <v>Benjamin Milandou-Loubeka</v>
      </c>
      <c r="F31" s="153"/>
      <c r="G31" s="153"/>
      <c r="H31" s="153" t="s">
        <v>129</v>
      </c>
      <c r="I31" s="157"/>
      <c r="J31" s="157"/>
      <c r="K31" s="157"/>
      <c r="L31" s="157"/>
      <c r="M31" s="157"/>
      <c r="N31" s="157"/>
      <c r="O31" s="157"/>
      <c r="P31" s="157"/>
      <c r="Q31" s="14"/>
    </row>
    <row r="32" ht="27" customHeight="true">
      <c r="A32" s="144" t="s"/>
      <c r="B32" s="180"/>
      <c r="C32" s="180"/>
      <c r="D32" s="181" t="s">
        <v>130</v>
      </c>
      <c r="E32" s="182">
        <f>Project!$AN$1</f>
        <v>45199</v>
      </c>
      <c r="F32" s="182"/>
      <c r="G32" s="182"/>
      <c r="H32" s="153"/>
      <c r="I32" s="157"/>
      <c r="J32" s="157"/>
      <c r="K32" s="157"/>
      <c r="L32" s="157"/>
      <c r="M32" s="157"/>
      <c r="N32" s="157"/>
      <c r="O32" s="157"/>
      <c r="P32" s="157"/>
      <c r="Q32" s="14"/>
    </row>
    <row r="33" ht="14.25" customHeight="true">
      <c r="A33" s="144" t="s"/>
      <c r="B33" s="158"/>
      <c r="C33" s="158"/>
      <c r="D33" s="183"/>
      <c r="E33" s="14"/>
      <c r="F33" s="14"/>
      <c r="G33" s="14"/>
      <c r="H33" s="148"/>
      <c r="I33" s="14"/>
      <c r="J33" s="14"/>
      <c r="K33" s="14"/>
      <c r="L33" s="14"/>
      <c r="M33" s="14"/>
      <c r="N33" s="14"/>
      <c r="O33" s="14"/>
      <c r="P33" s="14"/>
      <c r="Q33" s="14"/>
    </row>
    <row r="34" ht="27" customHeight="true">
      <c r="A34" s="144" t="s"/>
      <c r="B34" s="180" t="s">
        <v>131</v>
      </c>
      <c r="C34" s="180"/>
      <c r="D34" s="181" t="s">
        <v>128</v>
      </c>
      <c r="E34" s="157"/>
      <c r="F34" s="157"/>
      <c r="G34" s="157"/>
      <c r="H34" s="153" t="s">
        <v>129</v>
      </c>
      <c r="I34" s="157"/>
      <c r="J34" s="157"/>
      <c r="K34" s="157"/>
      <c r="L34" s="157"/>
      <c r="M34" s="157"/>
      <c r="N34" s="157"/>
      <c r="O34" s="157"/>
      <c r="P34" s="157"/>
      <c r="Q34" s="14"/>
    </row>
    <row r="35" ht="27" customHeight="true">
      <c r="A35" s="144" t="s"/>
      <c r="B35" s="180"/>
      <c r="C35" s="180"/>
      <c r="D35" s="181" t="s">
        <v>130</v>
      </c>
      <c r="E35" s="157"/>
      <c r="F35" s="157"/>
      <c r="G35" s="157"/>
      <c r="H35" s="153"/>
      <c r="I35" s="157"/>
      <c r="J35" s="157"/>
      <c r="K35" s="157"/>
      <c r="L35" s="157"/>
      <c r="M35" s="157"/>
      <c r="N35" s="157"/>
      <c r="O35" s="157"/>
      <c r="P35" s="157"/>
      <c r="Q35" s="14"/>
    </row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>
      <c r="A74" s="144" t="s"/>
      <c r="B74" s="14"/>
    </row>
  </sheetData>
  <dataValidations count="1">
    <dataValidation allowBlank="true" showInputMessage="true" showErrorMessage="true" promptTitle="Month" type="" sqref="I6">
      <formula1/>
    </dataValidation>
  </dataValidations>
  <mergeCells count="14">
    <mergeCell ref="B3:P3"/>
    <mergeCell ref="B5:C6"/>
    <mergeCell ref="D5:E6"/>
    <mergeCell ref="K5:M5"/>
    <mergeCell ref="B31:C32"/>
    <mergeCell ref="E31:G31"/>
    <mergeCell ref="H31:H32"/>
    <mergeCell ref="I31:P32"/>
    <mergeCell ref="E32:G32"/>
    <mergeCell ref="B34:C35"/>
    <mergeCell ref="E34:G34"/>
    <mergeCell ref="H34:H35"/>
    <mergeCell ref="I34:P35"/>
    <mergeCell ref="E35:G35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11.xml><?xml version="1.0" encoding="utf-8"?>
<worksheet xmlns="http://schemas.openxmlformats.org/spreadsheetml/2006/main">
  <sheetPr filterMode="false">
    <pageSetUpPr fitToPage="false"/>
  </sheetPr>
  <dimension ref="A1:R74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85546875" defaultRowHeight="12.75"/>
  <cols>
    <col collapsed="false" hidden="false" max="1" min="1" style="144" width="20.7109375" customWidth="true"/>
    <col collapsed="false" hidden="false" max="2" min="2" style="1" width="4.42578125" customWidth="true"/>
    <col collapsed="false" hidden="false" max="5" min="3" style="1" width="24.42578125" customWidth="true"/>
    <col collapsed="false" hidden="false" max="5" min="3" style="1" width="24.42578125" customWidth="true"/>
    <col collapsed="false" hidden="false" max="5" min="3" style="1" width="24.42578125" customWidth="true"/>
    <col collapsed="false" hidden="false" max="6" min="6" style="1" width="10.140625" customWidth="true"/>
    <col collapsed="false" hidden="false" max="9" min="7" style="1" width="8.85546875" customWidth="true"/>
    <col collapsed="false" hidden="false" max="9" min="7" style="1" width="8.85546875" customWidth="true"/>
    <col collapsed="false" hidden="false" max="9" min="7" style="1" width="8.85546875" customWidth="true"/>
    <col collapsed="false" hidden="false" max="11" min="10" style="1" width="10.140625" customWidth="true"/>
    <col collapsed="false" hidden="false" max="11" min="10" style="1" width="10.14062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7" min="16" style="1" width="14.5703125" customWidth="true"/>
    <col collapsed="false" hidden="false" max="17" min="16" style="1" width="14.5703125" customWidth="true"/>
    <col collapsed="false" hidden="false" max="18" min="18" style="145" width="8.85546875" customWidth="true"/>
  </cols>
  <sheetData>
    <row r="1">
      <c r="A1" s="144" t="s"/>
      <c r="B1" s="146" t="s">
        <v>96</v>
      </c>
      <c r="C1" s="2"/>
      <c r="D1" s="2"/>
      <c r="E1" s="147" t="s">
        <v>2</v>
      </c>
      <c r="F1" s="1" t="s"/>
      <c r="G1" s="2"/>
      <c r="H1" s="2"/>
      <c r="I1" s="2"/>
      <c r="J1" s="1" t="s"/>
      <c r="K1" s="1" t="s"/>
      <c r="L1" s="1" t="s"/>
      <c r="M1" s="1" t="s"/>
      <c r="N1" s="1" t="s"/>
      <c r="O1" s="1" t="s"/>
      <c r="P1" s="1" t="s"/>
      <c r="Q1" s="1" t="s"/>
      <c r="R1" s="11">
        <f>IF(Beneficiaries!$P$30&gt;0,1,"")</f>
        <v>1</v>
      </c>
    </row>
    <row r="2">
      <c r="A2" s="144" t="s"/>
      <c r="B2" s="1" t="s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11">
        <f>IF('Beneficiaries (2)'!$P$30&gt;0,1,"")</f>
        <v>1</v>
      </c>
    </row>
    <row r="3">
      <c r="A3" s="144" t="s"/>
      <c r="B3" s="148" t="s">
        <v>97</v>
      </c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1">
        <f>IF('Beneficiaries (3)'!$P$30&gt;0,1,"")</f>
        <v>1</v>
      </c>
    </row>
    <row r="4">
      <c r="A4" s="144" t="s"/>
      <c r="B4" s="1" t="s"/>
      <c r="C4" s="146"/>
      <c r="D4" s="146"/>
      <c r="E4" s="146"/>
      <c r="F4" s="146"/>
      <c r="G4" s="146"/>
      <c r="H4" s="1" t="s"/>
      <c r="I4" s="1" t="s"/>
      <c r="J4" s="1" t="s"/>
      <c r="K4" s="1" t="s"/>
      <c r="L4" s="1" t="s"/>
      <c r="M4" s="1" t="s"/>
      <c r="N4" s="1" t="s"/>
      <c r="O4" s="1" t="s"/>
      <c r="P4" s="1" t="s"/>
      <c r="Q4" s="1" t="s"/>
      <c r="R4" s="11">
        <f>IF('Beneficiaries (4)'!$P$30&gt;0,1,"")</f>
        <v>1</v>
      </c>
    </row>
    <row r="5" ht="12.75" customHeight="true">
      <c r="A5" s="144" t="s"/>
      <c r="B5" s="149" t="s">
        <v>98</v>
      </c>
      <c r="C5" s="150"/>
      <c r="D5" s="151" t="str">
        <f>Project!$Z$25</f>
        <v>WSDS/24/111i</v>
      </c>
      <c r="E5" s="151"/>
      <c r="F5" s="152"/>
      <c r="G5" s="1" t="s"/>
      <c r="H5" s="153" t="s">
        <v>99</v>
      </c>
      <c r="I5" s="153" t="s">
        <v>100</v>
      </c>
      <c r="J5" s="146"/>
      <c r="K5" s="154" t="s">
        <v>101</v>
      </c>
      <c r="L5" s="154"/>
      <c r="M5" s="154"/>
      <c r="N5" s="39"/>
      <c r="O5" s="39"/>
      <c r="P5" s="146"/>
      <c r="Q5" s="146"/>
      <c r="R5" s="11">
        <f>IF('Beneficiaries (5)'!$P$30&gt;0,1,"")</f>
        <v>1</v>
      </c>
    </row>
    <row r="6">
      <c r="A6" s="144" t="s"/>
      <c r="B6" s="155"/>
      <c r="C6" s="156"/>
      <c r="D6" s="151"/>
      <c r="E6" s="151"/>
      <c r="F6" s="152"/>
      <c r="G6" s="1" t="s"/>
      <c r="H6" s="109" t="str">
        <f>TEXT(Project!$AN$1,"YYYY")</f>
        <v>2023</v>
      </c>
      <c r="I6" s="109" t="str">
        <f>TEXT(Project!$AN$1,"MMMM")</f>
        <v>September</v>
      </c>
      <c r="J6" s="7"/>
      <c r="K6" s="157">
        <v>1</v>
      </c>
      <c r="L6" s="154" t="s">
        <v>102</v>
      </c>
      <c r="M6" s="154">
        <f>IF(K6&gt;0,COUNT(R1:R20),"")</f>
        <v>14</v>
      </c>
      <c r="N6" s="39"/>
      <c r="O6" s="39"/>
      <c r="P6" s="14"/>
      <c r="Q6" s="14"/>
      <c r="R6" s="11">
        <f>IF('Beneficiaries (6)'!$P$30&gt;0,1,"")</f>
        <v>1</v>
      </c>
    </row>
    <row r="7">
      <c r="A7" s="144" t="s"/>
      <c r="B7" s="158"/>
      <c r="C7" s="158"/>
      <c r="D7" s="158"/>
      <c r="E7" s="14"/>
      <c r="F7" s="14"/>
      <c r="G7" s="1" t="s"/>
      <c r="H7" s="7"/>
      <c r="I7" s="7"/>
      <c r="J7" s="7"/>
      <c r="K7" s="14"/>
      <c r="L7" s="39"/>
      <c r="M7" s="39"/>
      <c r="N7" s="39"/>
      <c r="O7" s="39"/>
      <c r="P7" s="14"/>
      <c r="Q7" s="14"/>
      <c r="R7" s="11">
        <f>IF('Beneficiaries (7)'!$P$30&gt;0,1,"")</f>
        <v>1</v>
      </c>
    </row>
    <row r="8">
      <c r="A8" s="144" t="s"/>
      <c r="B8" s="159"/>
      <c r="C8" s="160" t="s">
        <v>103</v>
      </c>
      <c r="D8" s="160" t="s">
        <v>103</v>
      </c>
      <c r="E8" s="160" t="s">
        <v>103</v>
      </c>
      <c r="F8" s="160" t="s">
        <v>104</v>
      </c>
      <c r="G8" s="159"/>
      <c r="H8" s="159"/>
      <c r="I8" s="160" t="s">
        <v>105</v>
      </c>
      <c r="J8" s="159"/>
      <c r="K8" s="160" t="s">
        <v>106</v>
      </c>
      <c r="L8" s="160" t="s">
        <v>107</v>
      </c>
      <c r="M8" s="160" t="s">
        <v>108</v>
      </c>
      <c r="N8" s="160"/>
      <c r="O8" s="160" t="s">
        <v>109</v>
      </c>
      <c r="P8" s="160"/>
      <c r="Q8" s="161"/>
      <c r="R8" s="11">
        <f>IF('Beneficiaries (8)'!$P$30&gt;0,1,"")</f>
        <v>1</v>
      </c>
    </row>
    <row r="9">
      <c r="A9" s="144" t="s"/>
      <c r="B9" s="162" t="s">
        <v>110</v>
      </c>
      <c r="C9" s="162" t="s">
        <v>111</v>
      </c>
      <c r="D9" s="162" t="s">
        <v>112</v>
      </c>
      <c r="E9" s="162" t="s">
        <v>113</v>
      </c>
      <c r="F9" s="163" t="s">
        <v>114</v>
      </c>
      <c r="G9" s="163" t="s">
        <v>115</v>
      </c>
      <c r="H9" s="163" t="s">
        <v>116</v>
      </c>
      <c r="I9" s="163" t="s">
        <v>117</v>
      </c>
      <c r="J9" s="163" t="s">
        <v>118</v>
      </c>
      <c r="K9" s="163" t="s">
        <v>119</v>
      </c>
      <c r="L9" s="163" t="s">
        <v>120</v>
      </c>
      <c r="M9" s="163" t="s">
        <v>121</v>
      </c>
      <c r="N9" s="163" t="s">
        <v>122</v>
      </c>
      <c r="O9" s="163" t="s">
        <v>123</v>
      </c>
      <c r="P9" s="163" t="s">
        <v>124</v>
      </c>
      <c r="Q9" s="164"/>
      <c r="R9" s="11">
        <f>IF('Beneficiaries (9)'!$P$30&gt;0,1,"")</f>
        <v>1</v>
      </c>
    </row>
    <row r="10">
      <c r="A10" s="144" t="str">
        <f>ID_Valid(E10)</f>
      </c>
      <c r="B10" s="165">
        <v>181</v>
      </c>
      <c r="C10" s="166" t="str">
        <f>IFERROR(INDEX(Logs!$B$2:$B$500,MATCH('Beneficiaries (10)'!$B10,Logs!$A$2:$A$500,0)),"")</f>
        <v>Ntomboxolo</v>
      </c>
      <c r="D10" s="166" t="str">
        <f>IFERROR(INDEX(Logs!$C$2:$C$500,MATCH('Beneficiaries (10)'!$B10,Logs!$A$2:$A$500,0)),"")</f>
        <v>Zenzile</v>
      </c>
      <c r="E10" s="167" t="str">
        <f>IFERROR(INDEX(Logs!$D$2:$D$500,MATCH('Beneficiaries (10)'!$B10,Logs!$A$2:$A$500,0)),"")</f>
        <v>9306080417084</v>
      </c>
      <c r="F10" s="168" t="s">
        <v>125</v>
      </c>
      <c r="G10" s="165" t="str">
        <f>TheGender(E10)</f>
        <v>F</v>
      </c>
      <c r="H10" s="165" t="s">
        <v>125</v>
      </c>
      <c r="I10" s="169" t="s">
        <v>126</v>
      </c>
      <c r="J10" s="170" t="str">
        <f>IFERROR(INDEX(Logs!$E$2:$E$500,MATCH('Beneficiaries (10)'!$B10,Logs!$A$2:$A$500,0)),"")</f>
        <v>01/03/2023</v>
      </c>
      <c r="K10" s="170" t="str">
        <f>IFERROR(INDEX(Logs!$F$2:$F$500,MATCH('Beneficiaries (10)'!$B10,Logs!$A$2:$A$500,0)),"")</f>
        <v>28/02/2024</v>
      </c>
      <c r="L10" s="165">
        <f>IFERROR(INDEX(Logs!$G$2:$G$500,MATCH('Beneficiaries (10)'!$B10,Logs!$A$2:$A$500,0)),0)</f>
        <v>22</v>
      </c>
      <c r="M10" s="165">
        <v>0</v>
      </c>
      <c r="N10" s="165">
        <f>M10+L10</f>
        <v>22</v>
      </c>
      <c r="O10" s="171">
        <f>IFERROR(INDEX(Logs!$H$2:$H$500,MATCH('Beneficiaries (10)'!$B10,Logs!$A$2:$A$500,0)),)</f>
        <v>204.16</v>
      </c>
      <c r="P10" s="172">
        <f>IFERROR(N10*O10,0)</f>
        <v>4491.5199999999995</v>
      </c>
      <c r="Q10" s="173"/>
      <c r="R10" s="11">
        <f>IF('Beneficiaries (10)'!$P$30&gt;0,1,"")</f>
        <v>1</v>
      </c>
    </row>
    <row r="11">
      <c r="A11" s="144" t="str">
        <f>ID_Valid(E11)</f>
      </c>
      <c r="B11" s="165">
        <v>182</v>
      </c>
      <c r="C11" s="166" t="str">
        <f>IFERROR(INDEX(Logs!$B$2:$B$500,MATCH('Beneficiaries (10)'!$B11,Logs!$A$2:$A$500,0)),"")</f>
        <v>Sive</v>
      </c>
      <c r="D11" s="166" t="str">
        <f>IFERROR(INDEX(Logs!$C$2:$C$500,MATCH('Beneficiaries (10)'!$B11,Logs!$A$2:$A$500,0)),"")</f>
        <v>Magqibelo</v>
      </c>
      <c r="E11" s="167" t="str">
        <f>IFERROR(INDEX(Logs!$D$2:$D$500,MATCH('Beneficiaries (10)'!$B11,Logs!$A$2:$A$500,0)),"")</f>
        <v>0106200813082</v>
      </c>
      <c r="F11" s="168" t="s">
        <v>125</v>
      </c>
      <c r="G11" s="165" t="str">
        <f>TheGender(E11)</f>
        <v>F</v>
      </c>
      <c r="H11" s="165" t="s">
        <v>125</v>
      </c>
      <c r="I11" s="165" t="s">
        <v>126</v>
      </c>
      <c r="J11" s="165" t="str">
        <f>IFERROR(INDEX(Logs!$E$2:$E$500,MATCH('Beneficiaries (10)'!$B11,Logs!$A$2:$A$500,0)),"")</f>
        <v>01/03/2023</v>
      </c>
      <c r="K11" s="165" t="str">
        <f>IFERROR(INDEX(Logs!$F$2:$F$500,MATCH('Beneficiaries (10)'!$B11,Logs!$A$2:$A$500,0)),"")</f>
        <v>28/02/2024</v>
      </c>
      <c r="L11" s="165">
        <f>IFERROR(INDEX(Logs!$G$2:$G$500,MATCH('Beneficiaries (10)'!$B11,Logs!$A$2:$A$500,0)),0)</f>
        <v>22</v>
      </c>
      <c r="M11" s="165">
        <v>0</v>
      </c>
      <c r="N11" s="165">
        <f>L11+M11</f>
        <v>22</v>
      </c>
      <c r="O11" s="171">
        <f>IFERROR(INDEX(Logs!$H$2:$H$500,MATCH('Beneficiaries (10)'!$B11,Logs!$A$2:$A$500,0)),)</f>
        <v>204.16</v>
      </c>
      <c r="P11" s="172">
        <f>IFERROR(N11*O11,0)</f>
        <v>4491.5199999999995</v>
      </c>
      <c r="Q11" s="173"/>
      <c r="R11" s="11">
        <f>IF('Beneficiaries (11)'!$P$30&gt;0,1,"")</f>
        <v>1</v>
      </c>
    </row>
    <row r="12">
      <c r="A12" s="144" t="str">
        <f>ID_Valid(E12)</f>
      </c>
      <c r="B12" s="165">
        <v>183</v>
      </c>
      <c r="C12" s="166" t="str">
        <f>IFERROR(INDEX(Logs!$B$2:$B$500,MATCH('Beneficiaries (10)'!$B12,Logs!$A$2:$A$500,0)),"")</f>
        <v>Vuyokazi</v>
      </c>
      <c r="D12" s="166" t="str">
        <f>IFERROR(INDEX(Logs!$C$2:$C$500,MATCH('Beneficiaries (10)'!$B12,Logs!$A$2:$A$500,0)),"")</f>
        <v>Mdunusana</v>
      </c>
      <c r="E12" s="167" t="str">
        <f>IFERROR(INDEX(Logs!$D$2:$D$500,MATCH('Beneficiaries (10)'!$B12,Logs!$A$2:$A$500,0)),"")</f>
        <v>6502150810082</v>
      </c>
      <c r="F12" s="168" t="s">
        <v>125</v>
      </c>
      <c r="G12" s="165" t="str">
        <f>TheGender(E12)</f>
        <v>F</v>
      </c>
      <c r="H12" s="165" t="s">
        <v>125</v>
      </c>
      <c r="I12" s="165" t="s">
        <v>126</v>
      </c>
      <c r="J12" s="165" t="str">
        <f>IFERROR(INDEX(Logs!$E$2:$E$500,MATCH('Beneficiaries (10)'!$B12,Logs!$A$2:$A$500,0)),"")</f>
        <v>01/03/2023</v>
      </c>
      <c r="K12" s="165" t="str">
        <f>IFERROR(INDEX(Logs!$F$2:$F$500,MATCH('Beneficiaries (10)'!$B12,Logs!$A$2:$A$500,0)),"")</f>
        <v>28/02/2024</v>
      </c>
      <c r="L12" s="165">
        <f>IFERROR(INDEX(Logs!$G$2:$G$500,MATCH('Beneficiaries (10)'!$B12,Logs!$A$2:$A$500,0)),0)</f>
        <v>22</v>
      </c>
      <c r="M12" s="165">
        <v>0</v>
      </c>
      <c r="N12" s="165">
        <f>L12+M12</f>
        <v>22</v>
      </c>
      <c r="O12" s="171">
        <f>IFERROR(INDEX(Logs!$H$2:$H$500,MATCH('Beneficiaries (10)'!$B12,Logs!$A$2:$A$500,0)),)</f>
        <v>204.16</v>
      </c>
      <c r="P12" s="172">
        <f>IFERROR(N12*O12,0)</f>
        <v>4491.5199999999995</v>
      </c>
      <c r="Q12" s="173"/>
      <c r="R12" s="11">
        <f>IF('Beneficiaries (12)'!$P$30&gt;0,1,"")</f>
        <v>1</v>
      </c>
    </row>
    <row r="13">
      <c r="A13" s="144" t="str">
        <f>ID_Valid(E13)</f>
      </c>
      <c r="B13" s="165">
        <v>184</v>
      </c>
      <c r="C13" s="166" t="str">
        <f>IFERROR(INDEX(Logs!$B$2:$B$500,MATCH('Beneficiaries (10)'!$B13,Logs!$A$2:$A$500,0)),"")</f>
        <v>Zikhona</v>
      </c>
      <c r="D13" s="166" t="str">
        <f>IFERROR(INDEX(Logs!$C$2:$C$500,MATCH('Beneficiaries (10)'!$B13,Logs!$A$2:$A$500,0)),"")</f>
        <v>Ngwane</v>
      </c>
      <c r="E13" s="167" t="str">
        <f>IFERROR(INDEX(Logs!$D$2:$D$500,MATCH('Beneficiaries (10)'!$B13,Logs!$A$2:$A$500,0)),"")</f>
        <v>7702110376088</v>
      </c>
      <c r="F13" s="168" t="s">
        <v>125</v>
      </c>
      <c r="G13" s="165" t="str">
        <f>TheGender(E13)</f>
        <v>F</v>
      </c>
      <c r="H13" s="165" t="s">
        <v>125</v>
      </c>
      <c r="I13" s="165" t="s">
        <v>126</v>
      </c>
      <c r="J13" s="165" t="str">
        <f>IFERROR(INDEX(Logs!$E$2:$E$500,MATCH('Beneficiaries (10)'!$B13,Logs!$A$2:$A$500,0)),"")</f>
        <v>01/03/2023</v>
      </c>
      <c r="K13" s="165" t="str">
        <f>IFERROR(INDEX(Logs!$F$2:$F$500,MATCH('Beneficiaries (10)'!$B13,Logs!$A$2:$A$500,0)),"")</f>
        <v>28/02/2024</v>
      </c>
      <c r="L13" s="165">
        <f>IFERROR(INDEX(Logs!$G$2:$G$500,MATCH('Beneficiaries (10)'!$B13,Logs!$A$2:$A$500,0)),0)</f>
        <v>22</v>
      </c>
      <c r="M13" s="165">
        <v>0</v>
      </c>
      <c r="N13" s="165">
        <f>L13+M13</f>
        <v>22</v>
      </c>
      <c r="O13" s="171">
        <f>IFERROR(INDEX(Logs!$H$2:$H$500,MATCH('Beneficiaries (10)'!$B13,Logs!$A$2:$A$500,0)),)</f>
        <v>204.16</v>
      </c>
      <c r="P13" s="172">
        <f>IFERROR(N13*O13,0)</f>
        <v>4491.5199999999995</v>
      </c>
      <c r="Q13" s="173"/>
      <c r="R13" s="11">
        <f>IF('Beneficiaries (13)'!$P$30&gt;0,1,"")</f>
        <v>1</v>
      </c>
    </row>
    <row r="14">
      <c r="A14" s="144" t="str">
        <f>ID_Valid(E14)</f>
      </c>
      <c r="B14" s="165">
        <v>185</v>
      </c>
      <c r="C14" s="166" t="str">
        <f>IFERROR(INDEX(Logs!$B$2:$B$500,MATCH('Beneficiaries (10)'!$B14,Logs!$A$2:$A$500,0)),"")</f>
        <v>Zodwa</v>
      </c>
      <c r="D14" s="166" t="str">
        <f>IFERROR(INDEX(Logs!$C$2:$C$500,MATCH('Beneficiaries (10)'!$B14,Logs!$A$2:$A$500,0)),"")</f>
        <v>Bozo</v>
      </c>
      <c r="E14" s="167" t="str">
        <f>IFERROR(INDEX(Logs!$D$2:$D$500,MATCH('Beneficiaries (10)'!$B14,Logs!$A$2:$A$500,0)),"")</f>
        <v>7903031539081</v>
      </c>
      <c r="F14" s="168" t="s">
        <v>125</v>
      </c>
      <c r="G14" s="165" t="str">
        <f>TheGender(E14)</f>
        <v>F</v>
      </c>
      <c r="H14" s="165" t="s">
        <v>125</v>
      </c>
      <c r="I14" s="165" t="s">
        <v>126</v>
      </c>
      <c r="J14" s="165" t="str">
        <f>IFERROR(INDEX(Logs!$E$2:$E$500,MATCH('Beneficiaries (10)'!$B14,Logs!$A$2:$A$500,0)),"")</f>
        <v>01/03/2023</v>
      </c>
      <c r="K14" s="165" t="str">
        <f>IFERROR(INDEX(Logs!$F$2:$F$500,MATCH('Beneficiaries (10)'!$B14,Logs!$A$2:$A$500,0)),"")</f>
        <v>28/02/2024</v>
      </c>
      <c r="L14" s="165">
        <f>IFERROR(INDEX(Logs!$G$2:$G$500,MATCH('Beneficiaries (10)'!$B14,Logs!$A$2:$A$500,0)),0)</f>
        <v>22</v>
      </c>
      <c r="M14" s="165">
        <v>0</v>
      </c>
      <c r="N14" s="165">
        <f>L14+M14</f>
        <v>22</v>
      </c>
      <c r="O14" s="171">
        <f>IFERROR(INDEX(Logs!$H$2:$H$500,MATCH('Beneficiaries (10)'!$B14,Logs!$A$2:$A$500,0)),)</f>
        <v>218.08</v>
      </c>
      <c r="P14" s="172">
        <f>IFERROR(N14*O14,0)</f>
        <v>4797.76</v>
      </c>
      <c r="Q14" s="173"/>
      <c r="R14" s="11">
        <f>IF('Beneficiaries (14)'!$P$30&gt;0,1,"")</f>
        <v>1</v>
      </c>
    </row>
    <row r="15">
      <c r="A15" s="144" t="str">
        <f>ID_Valid(E15)</f>
      </c>
      <c r="B15" s="165">
        <v>186</v>
      </c>
      <c r="C15" s="166" t="str">
        <f>IFERROR(INDEX(Logs!$B$2:$B$500,MATCH('Beneficiaries (10)'!$B15,Logs!$A$2:$A$500,0)),"")</f>
        <v>Michael</v>
      </c>
      <c r="D15" s="166" t="str">
        <f>IFERROR(INDEX(Logs!$C$2:$C$500,MATCH('Beneficiaries (10)'!$B15,Logs!$A$2:$A$500,0)),"")</f>
        <v>Ramba</v>
      </c>
      <c r="E15" s="167" t="str">
        <f>IFERROR(INDEX(Logs!$D$2:$D$500,MATCH('Beneficiaries (10)'!$B15,Logs!$A$2:$A$500,0)),"")</f>
        <v>7405015423084</v>
      </c>
      <c r="F15" s="168" t="s">
        <v>125</v>
      </c>
      <c r="G15" s="165" t="str">
        <f>TheGender(E15)</f>
        <v>M</v>
      </c>
      <c r="H15" s="165" t="s">
        <v>125</v>
      </c>
      <c r="I15" s="165" t="s">
        <v>126</v>
      </c>
      <c r="J15" s="165" t="str">
        <f>IFERROR(INDEX(Logs!$E$2:$E$500,MATCH('Beneficiaries (10)'!$B15,Logs!$A$2:$A$500,0)),"")</f>
        <v>06/03/2023</v>
      </c>
      <c r="K15" s="165" t="str">
        <f>IFERROR(INDEX(Logs!$F$2:$F$500,MATCH('Beneficiaries (10)'!$B15,Logs!$A$2:$A$500,0)),"")</f>
        <v>31/03/2024</v>
      </c>
      <c r="L15" s="165">
        <f>IFERROR(INDEX(Logs!$G$2:$G$500,MATCH('Beneficiaries (10)'!$B15,Logs!$A$2:$A$500,0)),0)</f>
        <v>22</v>
      </c>
      <c r="M15" s="165">
        <v>0</v>
      </c>
      <c r="N15" s="165">
        <f>L15+M15</f>
        <v>22</v>
      </c>
      <c r="O15" s="171">
        <f>IFERROR(INDEX(Logs!$H$2:$H$500,MATCH('Beneficiaries (10)'!$B15,Logs!$A$2:$A$500,0)),)</f>
        <v>204.16</v>
      </c>
      <c r="P15" s="172">
        <f>IFERROR(N15*O15,0)</f>
        <v>4491.5199999999995</v>
      </c>
      <c r="Q15" s="173"/>
      <c r="R15" s="11"/>
    </row>
    <row r="16">
      <c r="A16" s="144" t="str">
        <f>ID_Valid(E16)</f>
      </c>
      <c r="B16" s="165">
        <v>187</v>
      </c>
      <c r="C16" s="166" t="str">
        <f>IFERROR(INDEX(Logs!$B$2:$B$500,MATCH('Beneficiaries (10)'!$B16,Logs!$A$2:$A$500,0)),"")</f>
        <v>Thembakazi</v>
      </c>
      <c r="D16" s="166" t="str">
        <f>IFERROR(INDEX(Logs!$C$2:$C$500,MATCH('Beneficiaries (10)'!$B16,Logs!$A$2:$A$500,0)),"")</f>
        <v>Mqhamkana</v>
      </c>
      <c r="E16" s="167" t="str">
        <f>IFERROR(INDEX(Logs!$D$2:$D$500,MATCH('Beneficiaries (10)'!$B16,Logs!$A$2:$A$500,0)),"")</f>
        <v>8908200358089</v>
      </c>
      <c r="F16" s="168" t="s">
        <v>125</v>
      </c>
      <c r="G16" s="165" t="str">
        <f>TheGender(E16)</f>
        <v>F</v>
      </c>
      <c r="H16" s="165" t="s">
        <v>125</v>
      </c>
      <c r="I16" s="165" t="s">
        <v>126</v>
      </c>
      <c r="J16" s="165" t="str">
        <f>IFERROR(INDEX(Logs!$E$2:$E$500,MATCH('Beneficiaries (10)'!$B16,Logs!$A$2:$A$500,0)),"")</f>
        <v>06/03/2023</v>
      </c>
      <c r="K16" s="165" t="str">
        <f>IFERROR(INDEX(Logs!$F$2:$F$500,MATCH('Beneficiaries (10)'!$B16,Logs!$A$2:$A$500,0)),"")</f>
        <v>31/03/2024</v>
      </c>
      <c r="L16" s="165">
        <f>IFERROR(INDEX(Logs!$G$2:$G$500,MATCH('Beneficiaries (10)'!$B16,Logs!$A$2:$A$500,0)),0)</f>
        <v>22</v>
      </c>
      <c r="M16" s="165">
        <v>0</v>
      </c>
      <c r="N16" s="165">
        <f>L16+M16</f>
        <v>22</v>
      </c>
      <c r="O16" s="171">
        <f>IFERROR(INDEX(Logs!$H$2:$H$500,MATCH('Beneficiaries (10)'!$B16,Logs!$A$2:$A$500,0)),)</f>
        <v>204.16</v>
      </c>
      <c r="P16" s="172">
        <f>IFERROR(N16*O16,0)</f>
        <v>4491.5199999999995</v>
      </c>
      <c r="Q16" s="173"/>
      <c r="R16" s="11"/>
    </row>
    <row r="17">
      <c r="A17" s="144" t="str">
        <f>ID_Valid(E17)</f>
      </c>
      <c r="B17" s="165">
        <v>188</v>
      </c>
      <c r="C17" s="166" t="str">
        <f>IFERROR(INDEX(Logs!$B$2:$B$500,MATCH('Beneficiaries (10)'!$B17,Logs!$A$2:$A$500,0)),"")</f>
        <v>Nontsikeleko</v>
      </c>
      <c r="D17" s="166" t="str">
        <f>IFERROR(INDEX(Logs!$C$2:$C$500,MATCH('Beneficiaries (10)'!$B17,Logs!$A$2:$A$500,0)),"")</f>
        <v>Makhendeleni</v>
      </c>
      <c r="E17" s="167" t="str">
        <f>IFERROR(INDEX(Logs!$D$2:$D$500,MATCH('Beneficiaries (10)'!$B17,Logs!$A$2:$A$500,0)),"")</f>
        <v>8612241717085</v>
      </c>
      <c r="F17" s="168" t="s">
        <v>125</v>
      </c>
      <c r="G17" s="165" t="str">
        <f>TheGender(E17)</f>
        <v>F</v>
      </c>
      <c r="H17" s="165" t="s">
        <v>125</v>
      </c>
      <c r="I17" s="165" t="s">
        <v>126</v>
      </c>
      <c r="J17" s="165" t="str">
        <f>IFERROR(INDEX(Logs!$E$2:$E$500,MATCH('Beneficiaries (10)'!$B17,Logs!$A$2:$A$500,0)),"")</f>
        <v>06/03/2023</v>
      </c>
      <c r="K17" s="165" t="str">
        <f>IFERROR(INDEX(Logs!$F$2:$F$500,MATCH('Beneficiaries (10)'!$B17,Logs!$A$2:$A$500,0)),"")</f>
        <v>31/03/2024</v>
      </c>
      <c r="L17" s="165">
        <f>IFERROR(INDEX(Logs!$G$2:$G$500,MATCH('Beneficiaries (10)'!$B17,Logs!$A$2:$A$500,0)),0)</f>
        <v>22</v>
      </c>
      <c r="M17" s="165">
        <v>0</v>
      </c>
      <c r="N17" s="165">
        <f>L17+M17</f>
        <v>22</v>
      </c>
      <c r="O17" s="171">
        <f>IFERROR(INDEX(Logs!$H$2:$H$500,MATCH('Beneficiaries (10)'!$B17,Logs!$A$2:$A$500,0)),)</f>
        <v>204.16</v>
      </c>
      <c r="P17" s="172">
        <f>IFERROR(N17*O17,0)</f>
        <v>4491.5199999999995</v>
      </c>
      <c r="Q17" s="173"/>
      <c r="R17" s="11"/>
    </row>
    <row r="18">
      <c r="A18" s="144" t="str">
        <f>ID_Valid(E18)</f>
      </c>
      <c r="B18" s="165">
        <v>189</v>
      </c>
      <c r="C18" s="166" t="str">
        <f>IFERROR(INDEX(Logs!$B$2:$B$500,MATCH('Beneficiaries (10)'!$B18,Logs!$A$2:$A$500,0)),"")</f>
        <v>Mamela</v>
      </c>
      <c r="D18" s="166" t="str">
        <f>IFERROR(INDEX(Logs!$C$2:$C$500,MATCH('Beneficiaries (10)'!$B18,Logs!$A$2:$A$500,0)),"")</f>
        <v>Posiso</v>
      </c>
      <c r="E18" s="167" t="str">
        <f>IFERROR(INDEX(Logs!$D$2:$D$500,MATCH('Beneficiaries (10)'!$B18,Logs!$A$2:$A$500,0)),"")</f>
        <v>8903180995083</v>
      </c>
      <c r="F18" s="168" t="s">
        <v>125</v>
      </c>
      <c r="G18" s="165" t="str">
        <f>TheGender(E18)</f>
        <v>F</v>
      </c>
      <c r="H18" s="165" t="s">
        <v>125</v>
      </c>
      <c r="I18" s="165" t="s">
        <v>126</v>
      </c>
      <c r="J18" s="165" t="str">
        <f>IFERROR(INDEX(Logs!$E$2:$E$500,MATCH('Beneficiaries (10)'!$B18,Logs!$A$2:$A$500,0)),"")</f>
        <v>06/03/2023</v>
      </c>
      <c r="K18" s="165" t="str">
        <f>IFERROR(INDEX(Logs!$F$2:$F$500,MATCH('Beneficiaries (10)'!$B18,Logs!$A$2:$A$500,0)),"")</f>
        <v>31/03/2024</v>
      </c>
      <c r="L18" s="165">
        <f>IFERROR(INDEX(Logs!$G$2:$G$500,MATCH('Beneficiaries (10)'!$B18,Logs!$A$2:$A$500,0)),0)</f>
        <v>22</v>
      </c>
      <c r="M18" s="165">
        <v>0</v>
      </c>
      <c r="N18" s="165">
        <f>L18+M18</f>
        <v>22</v>
      </c>
      <c r="O18" s="171">
        <f>IFERROR(INDEX(Logs!$H$2:$H$500,MATCH('Beneficiaries (10)'!$B18,Logs!$A$2:$A$500,0)),)</f>
        <v>204.16</v>
      </c>
      <c r="P18" s="172">
        <f>IFERROR(N18*O18,0)</f>
        <v>4491.5199999999995</v>
      </c>
      <c r="Q18" s="173"/>
      <c r="R18" s="11"/>
    </row>
    <row r="19">
      <c r="A19" s="144" t="str">
        <f>ID_Valid(E19)</f>
      </c>
      <c r="B19" s="165">
        <v>190</v>
      </c>
      <c r="C19" s="166" t="str">
        <f>IFERROR(INDEX(Logs!$B$2:$B$500,MATCH('Beneficiaries (10)'!$B19,Logs!$A$2:$A$500,0)),"")</f>
        <v>Mthetheleli</v>
      </c>
      <c r="D19" s="166" t="str">
        <f>IFERROR(INDEX(Logs!$C$2:$C$500,MATCH('Beneficiaries (10)'!$B19,Logs!$A$2:$A$500,0)),"")</f>
        <v>Mputha</v>
      </c>
      <c r="E19" s="167" t="str">
        <f>IFERROR(INDEX(Logs!$D$2:$D$500,MATCH('Beneficiaries (10)'!$B19,Logs!$A$2:$A$500,0)),"")</f>
        <v>7704215475088</v>
      </c>
      <c r="F19" s="168" t="s">
        <v>125</v>
      </c>
      <c r="G19" s="165" t="str">
        <f>TheGender(E19)</f>
        <v>M</v>
      </c>
      <c r="H19" s="165" t="s">
        <v>125</v>
      </c>
      <c r="I19" s="165" t="s">
        <v>126</v>
      </c>
      <c r="J19" s="165" t="str">
        <f>IFERROR(INDEX(Logs!$E$2:$E$500,MATCH('Beneficiaries (10)'!$B19,Logs!$A$2:$A$500,0)),"")</f>
        <v>06/03/2023</v>
      </c>
      <c r="K19" s="165" t="str">
        <f>IFERROR(INDEX(Logs!$F$2:$F$500,MATCH('Beneficiaries (10)'!$B19,Logs!$A$2:$A$500,0)),"")</f>
        <v>31/03/2024</v>
      </c>
      <c r="L19" s="165">
        <f>IFERROR(INDEX(Logs!$G$2:$G$500,MATCH('Beneficiaries (10)'!$B19,Logs!$A$2:$A$500,0)),0)</f>
        <v>22</v>
      </c>
      <c r="M19" s="165">
        <v>0</v>
      </c>
      <c r="N19" s="165">
        <f>L19+M19</f>
        <v>22</v>
      </c>
      <c r="O19" s="171">
        <f>IFERROR(INDEX(Logs!$H$2:$H$500,MATCH('Beneficiaries (10)'!$B19,Logs!$A$2:$A$500,0)),)</f>
        <v>204.16</v>
      </c>
      <c r="P19" s="172">
        <f>IFERROR(N19*O19,0)</f>
        <v>4491.5199999999995</v>
      </c>
      <c r="Q19" s="173"/>
      <c r="R19" s="11"/>
    </row>
    <row r="20">
      <c r="A20" s="144" t="str">
        <f>ID_Valid(E20)</f>
      </c>
      <c r="B20" s="165">
        <v>191</v>
      </c>
      <c r="C20" s="166" t="str">
        <f>IFERROR(INDEX(Logs!$B$2:$B$500,MATCH('Beneficiaries (10)'!$B20,Logs!$A$2:$A$500,0)),"")</f>
        <v>Sicelo</v>
      </c>
      <c r="D20" s="166" t="str">
        <f>IFERROR(INDEX(Logs!$C$2:$C$500,MATCH('Beneficiaries (10)'!$B20,Logs!$A$2:$A$500,0)),"")</f>
        <v>Ndlovu</v>
      </c>
      <c r="E20" s="167" t="str">
        <f>IFERROR(INDEX(Logs!$D$2:$D$500,MATCH('Beneficiaries (10)'!$B20,Logs!$A$2:$A$500,0)),"")</f>
        <v>8001125870089</v>
      </c>
      <c r="F20" s="168" t="s">
        <v>125</v>
      </c>
      <c r="G20" s="165" t="str">
        <f>TheGender(E20)</f>
        <v>M</v>
      </c>
      <c r="H20" s="165" t="s">
        <v>125</v>
      </c>
      <c r="I20" s="165" t="s">
        <v>126</v>
      </c>
      <c r="J20" s="165" t="str">
        <f>IFERROR(INDEX(Logs!$E$2:$E$500,MATCH('Beneficiaries (10)'!$B20,Logs!$A$2:$A$500,0)),"")</f>
        <v>13/03/2023</v>
      </c>
      <c r="K20" s="165" t="str">
        <f>IFERROR(INDEX(Logs!$F$2:$F$500,MATCH('Beneficiaries (10)'!$B20,Logs!$A$2:$A$500,0)),"")</f>
        <v>28/02/2024</v>
      </c>
      <c r="L20" s="165">
        <f>IFERROR(INDEX(Logs!$G$2:$G$500,MATCH('Beneficiaries (10)'!$B20,Logs!$A$2:$A$500,0)),0)</f>
        <v>22</v>
      </c>
      <c r="M20" s="165">
        <v>0</v>
      </c>
      <c r="N20" s="165">
        <f>L20+M20</f>
        <v>22</v>
      </c>
      <c r="O20" s="171">
        <f>IFERROR(INDEX(Logs!$H$2:$H$500,MATCH('Beneficiaries (10)'!$B20,Logs!$A$2:$A$500,0)),)</f>
        <v>204.16</v>
      </c>
      <c r="P20" s="172">
        <f>IFERROR(N20*O20,0)</f>
        <v>4491.5199999999995</v>
      </c>
      <c r="Q20" s="173"/>
      <c r="R20" s="145" t="s"/>
    </row>
    <row r="21">
      <c r="A21" s="144" t="str">
        <f>ID_Valid(E21)</f>
      </c>
      <c r="B21" s="165">
        <v>192</v>
      </c>
      <c r="C21" s="166" t="str">
        <f>IFERROR(INDEX(Logs!$B$2:$B$500,MATCH('Beneficiaries (10)'!$B21,Logs!$A$2:$A$500,0)),"")</f>
        <v>Yandiswa</v>
      </c>
      <c r="D21" s="166" t="str">
        <f>IFERROR(INDEX(Logs!$C$2:$C$500,MATCH('Beneficiaries (10)'!$B21,Logs!$A$2:$A$500,0)),"")</f>
        <v>Mjodo</v>
      </c>
      <c r="E21" s="167" t="str">
        <f>IFERROR(INDEX(Logs!$D$2:$D$500,MATCH('Beneficiaries (10)'!$B21,Logs!$A$2:$A$500,0)),"")</f>
        <v>8302040557086</v>
      </c>
      <c r="F21" s="168" t="s">
        <v>125</v>
      </c>
      <c r="G21" s="165" t="str">
        <f>TheGender(E21)</f>
        <v>F</v>
      </c>
      <c r="H21" s="165" t="s">
        <v>125</v>
      </c>
      <c r="I21" s="165" t="s">
        <v>126</v>
      </c>
      <c r="J21" s="165" t="str">
        <f>IFERROR(INDEX(Logs!$E$2:$E$500,MATCH('Beneficiaries (10)'!$B21,Logs!$A$2:$A$500,0)),"")</f>
        <v>13/03/2023</v>
      </c>
      <c r="K21" s="165" t="str">
        <f>IFERROR(INDEX(Logs!$F$2:$F$500,MATCH('Beneficiaries (10)'!$B21,Logs!$A$2:$A$500,0)),"")</f>
        <v>31/03/2024</v>
      </c>
      <c r="L21" s="165">
        <f>IFERROR(INDEX(Logs!$G$2:$G$500,MATCH('Beneficiaries (10)'!$B21,Logs!$A$2:$A$500,0)),0)</f>
        <v>22</v>
      </c>
      <c r="M21" s="165">
        <v>0</v>
      </c>
      <c r="N21" s="165">
        <f>L21+M21</f>
        <v>22</v>
      </c>
      <c r="O21" s="171">
        <f>IFERROR(INDEX(Logs!$H$2:$H$500,MATCH('Beneficiaries (10)'!$B21,Logs!$A$2:$A$500,0)),)</f>
        <v>204.16</v>
      </c>
      <c r="P21" s="172">
        <f>IFERROR(N21*O21,0)</f>
        <v>4491.5199999999995</v>
      </c>
      <c r="Q21" s="173"/>
      <c r="R21" s="145" t="s"/>
    </row>
    <row r="22">
      <c r="A22" s="144" t="str">
        <f>ID_Valid(E22)</f>
      </c>
      <c r="B22" s="165">
        <v>193</v>
      </c>
      <c r="C22" s="174" t="str">
        <f>IFERROR(INDEX(Logs!$B$2:$B$500,MATCH('Beneficiaries (10)'!$B22,Logs!$A$2:$A$500,0)),"")</f>
        <v>Jerome</v>
      </c>
      <c r="D22" s="166" t="str">
        <f>IFERROR(INDEX(Logs!$C$2:$C$500,MATCH('Beneficiaries (10)'!$B22,Logs!$A$2:$A$500,0)),"")</f>
        <v>Gomis</v>
      </c>
      <c r="E22" s="167" t="str">
        <f>IFERROR(INDEX(Logs!$D$2:$D$500,MATCH('Beneficiaries (10)'!$B22,Logs!$A$2:$A$500,0)),"")</f>
        <v>6807106122080</v>
      </c>
      <c r="F22" s="168" t="s">
        <v>125</v>
      </c>
      <c r="G22" s="165" t="str">
        <f>TheGender(E22)</f>
        <v>M</v>
      </c>
      <c r="H22" s="165" t="s">
        <v>125</v>
      </c>
      <c r="I22" s="165" t="s">
        <v>126</v>
      </c>
      <c r="J22" s="165" t="str">
        <f>IFERROR(INDEX(Logs!$E$2:$E$500,MATCH('Beneficiaries (10)'!$B22,Logs!$A$2:$A$500,0)),"")</f>
        <v>01/04/2023</v>
      </c>
      <c r="K22" s="165" t="str">
        <f>IFERROR(INDEX(Logs!$F$2:$F$500,MATCH('Beneficiaries (10)'!$B22,Logs!$A$2:$A$500,0)),"")</f>
        <v>31/03/2024</v>
      </c>
      <c r="L22" s="165">
        <f>IFERROR(INDEX(Logs!$G$2:$G$500,MATCH('Beneficiaries (10)'!$B22,Logs!$A$2:$A$500,0)),0)</f>
        <v>22</v>
      </c>
      <c r="M22" s="165">
        <v>0</v>
      </c>
      <c r="N22" s="165">
        <f>L22+M22</f>
        <v>22</v>
      </c>
      <c r="O22" s="171">
        <f>IFERROR(INDEX(Logs!$H$2:$H$500,MATCH('Beneficiaries (10)'!$B22,Logs!$A$2:$A$500,0)),)</f>
        <v>204.16</v>
      </c>
      <c r="P22" s="172">
        <f>IFERROR(N22*O22,0)</f>
        <v>4491.5199999999995</v>
      </c>
      <c r="Q22" s="173"/>
      <c r="R22" s="145" t="s"/>
    </row>
    <row r="23">
      <c r="A23" s="144" t="str">
        <f>ID_Valid(E23)</f>
      </c>
      <c r="B23" s="165">
        <v>194</v>
      </c>
      <c r="C23" s="174" t="str">
        <f>IFERROR(INDEX(Logs!$B$2:$B$500,MATCH('Beneficiaries (10)'!$B23,Logs!$A$2:$A$500,0)),"")</f>
        <v>Yolanda</v>
      </c>
      <c r="D23" s="166" t="str">
        <f>IFERROR(INDEX(Logs!$C$2:$C$500,MATCH('Beneficiaries (10)'!$B23,Logs!$A$2:$A$500,0)),"")</f>
        <v>Snico</v>
      </c>
      <c r="E23" s="167" t="str">
        <f>IFERROR(INDEX(Logs!$D$2:$D$500,MATCH('Beneficiaries (10)'!$B23,Logs!$A$2:$A$500,0)),"")</f>
        <v>9002150755087</v>
      </c>
      <c r="F23" s="168" t="s">
        <v>125</v>
      </c>
      <c r="G23" s="165" t="str">
        <f>TheGender(E23)</f>
        <v>F</v>
      </c>
      <c r="H23" s="165" t="s">
        <v>125</v>
      </c>
      <c r="I23" s="165" t="s">
        <v>126</v>
      </c>
      <c r="J23" s="165" t="str">
        <f>IFERROR(INDEX(Logs!$E$2:$E$500,MATCH('Beneficiaries (10)'!$B23,Logs!$A$2:$A$500,0)),"")</f>
        <v>01/04/2023</v>
      </c>
      <c r="K23" s="165" t="str">
        <f>IFERROR(INDEX(Logs!$F$2:$F$500,MATCH('Beneficiaries (10)'!$B23,Logs!$A$2:$A$500,0)),"")</f>
        <v>31/03/2024</v>
      </c>
      <c r="L23" s="165">
        <f>IFERROR(INDEX(Logs!$G$2:$G$500,MATCH('Beneficiaries (10)'!$B23,Logs!$A$2:$A$500,0)),0)</f>
        <v>22</v>
      </c>
      <c r="M23" s="165">
        <v>0</v>
      </c>
      <c r="N23" s="165">
        <f>L23+M23</f>
        <v>22</v>
      </c>
      <c r="O23" s="171">
        <f>IFERROR(INDEX(Logs!$H$2:$H$500,MATCH('Beneficiaries (10)'!$B23,Logs!$A$2:$A$500,0)),)</f>
        <v>204.16</v>
      </c>
      <c r="P23" s="172">
        <f>IFERROR(N23*O23,0)</f>
        <v>4491.5199999999995</v>
      </c>
      <c r="Q23" s="173"/>
      <c r="R23" s="145" t="s"/>
    </row>
    <row r="24">
      <c r="A24" s="144" t="str">
        <f>ID_Valid(E24)</f>
      </c>
      <c r="B24" s="165">
        <v>195</v>
      </c>
      <c r="C24" s="174" t="str">
        <f>IFERROR(INDEX(Logs!$B$2:$B$500,MATCH('Beneficiaries (10)'!$B24,Logs!$A$2:$A$500,0)),"")</f>
        <v>Thandiwe</v>
      </c>
      <c r="D24" s="166" t="str">
        <f>IFERROR(INDEX(Logs!$C$2:$C$500,MATCH('Beneficiaries (10)'!$B24,Logs!$A$2:$A$500,0)),"")</f>
        <v>Ncamiso</v>
      </c>
      <c r="E24" s="167" t="str">
        <f>IFERROR(INDEX(Logs!$D$2:$D$500,MATCH('Beneficiaries (10)'!$B24,Logs!$A$2:$A$500,0)),"")</f>
        <v>9006261693087</v>
      </c>
      <c r="F24" s="168" t="s">
        <v>125</v>
      </c>
      <c r="G24" s="165" t="str">
        <f>TheGender(E24)</f>
        <v>F</v>
      </c>
      <c r="H24" s="165" t="s">
        <v>125</v>
      </c>
      <c r="I24" s="165" t="s">
        <v>126</v>
      </c>
      <c r="J24" s="165" t="str">
        <f>IFERROR(INDEX(Logs!$E$2:$E$500,MATCH('Beneficiaries (10)'!$B24,Logs!$A$2:$A$500,0)),"")</f>
        <v>01/04/2023</v>
      </c>
      <c r="K24" s="165" t="str">
        <f>IFERROR(INDEX(Logs!$F$2:$F$500,MATCH('Beneficiaries (10)'!$B24,Logs!$A$2:$A$500,0)),"")</f>
        <v>31/03/2024</v>
      </c>
      <c r="L24" s="165">
        <f>IFERROR(INDEX(Logs!$G$2:$G$500,MATCH('Beneficiaries (10)'!$B24,Logs!$A$2:$A$500,0)),0)</f>
        <v>22</v>
      </c>
      <c r="M24" s="165">
        <v>0</v>
      </c>
      <c r="N24" s="165">
        <f>L24+M24</f>
        <v>22</v>
      </c>
      <c r="O24" s="171">
        <f>IFERROR(INDEX(Logs!$H$2:$H$500,MATCH('Beneficiaries (10)'!$B24,Logs!$A$2:$A$500,0)),)</f>
        <v>204.16</v>
      </c>
      <c r="P24" s="172">
        <f>IFERROR(N24*O24,0)</f>
        <v>4491.5199999999995</v>
      </c>
      <c r="Q24" s="173"/>
      <c r="R24" s="145" t="s"/>
    </row>
    <row r="25">
      <c r="A25" s="144" t="str">
        <f>ID_Valid(E25)</f>
      </c>
      <c r="B25" s="165">
        <v>196</v>
      </c>
      <c r="C25" s="170" t="str">
        <f>IFERROR(INDEX(Logs!$B$2:$B$500,MATCH('Beneficiaries (10)'!$B25,Logs!$A$2:$A$500,0)),"")</f>
        <v>Siyabonga</v>
      </c>
      <c r="D25" s="166" t="str">
        <f>IFERROR(INDEX(Logs!$C$2:$C$500,MATCH('Beneficiaries (10)'!$B25,Logs!$A$2:$A$500,0)),"")</f>
        <v>Mfakadolo</v>
      </c>
      <c r="E25" s="167" t="str">
        <f>IFERROR(INDEX(Logs!$D$2:$D$500,MATCH('Beneficiaries (10)'!$B25,Logs!$A$2:$A$500,0)),"")</f>
        <v>8103076236086</v>
      </c>
      <c r="F25" s="168" t="s">
        <v>125</v>
      </c>
      <c r="G25" s="165" t="str">
        <f>TheGender(E25)</f>
        <v>M</v>
      </c>
      <c r="H25" s="165" t="s">
        <v>125</v>
      </c>
      <c r="I25" s="165" t="s">
        <v>126</v>
      </c>
      <c r="J25" s="165" t="str">
        <f>IFERROR(INDEX(Logs!$E$2:$E$500,MATCH('Beneficiaries (10)'!$B25,Logs!$A$2:$A$500,0)),"")</f>
        <v>03/04/2023</v>
      </c>
      <c r="K25" s="165" t="str">
        <f>IFERROR(INDEX(Logs!$F$2:$F$500,MATCH('Beneficiaries (10)'!$B25,Logs!$A$2:$A$500,0)),"")</f>
        <v>31/03/2024</v>
      </c>
      <c r="L25" s="165">
        <f>IFERROR(INDEX(Logs!$G$2:$G$500,MATCH('Beneficiaries (10)'!$B25,Logs!$A$2:$A$500,0)),0)</f>
        <v>17</v>
      </c>
      <c r="M25" s="165">
        <v>0</v>
      </c>
      <c r="N25" s="165">
        <f>L25+M25</f>
        <v>17</v>
      </c>
      <c r="O25" s="171">
        <f>IFERROR(INDEX(Logs!$H$2:$H$500,MATCH('Beneficiaries (10)'!$B25,Logs!$A$2:$A$500,0)),)</f>
        <v>204.16</v>
      </c>
      <c r="P25" s="172">
        <f>IFERROR(N25*O25,0)</f>
        <v>3470.72</v>
      </c>
      <c r="Q25" s="173"/>
      <c r="R25" s="145" t="s"/>
    </row>
    <row r="26">
      <c r="A26" s="144" t="str">
        <f>ID_Valid(E26)</f>
      </c>
      <c r="B26" s="165">
        <v>197</v>
      </c>
      <c r="C26" s="170" t="str">
        <f>IFERROR(INDEX(Logs!$B$2:$B$500,MATCH('Beneficiaries (10)'!$B26,Logs!$A$2:$A$500,0)),"")</f>
        <v>Siphenkosi</v>
      </c>
      <c r="D26" s="166" t="str">
        <f>IFERROR(INDEX(Logs!$C$2:$C$500,MATCH('Beneficiaries (10)'!$B26,Logs!$A$2:$A$500,0)),"")</f>
        <v>Magudumana</v>
      </c>
      <c r="E26" s="167" t="str">
        <f>IFERROR(INDEX(Logs!$D$2:$D$500,MATCH('Beneficiaries (10)'!$B26,Logs!$A$2:$A$500,0)),"")</f>
        <v>9302116121089</v>
      </c>
      <c r="F26" s="168" t="s">
        <v>125</v>
      </c>
      <c r="G26" s="165" t="str">
        <f>TheGender(E26)</f>
        <v>M</v>
      </c>
      <c r="H26" s="165" t="s">
        <v>125</v>
      </c>
      <c r="I26" s="165" t="s">
        <v>126</v>
      </c>
      <c r="J26" s="165" t="str">
        <f>IFERROR(INDEX(Logs!$E$2:$E$500,MATCH('Beneficiaries (10)'!$B26,Logs!$A$2:$A$500,0)),"")</f>
        <v>03/04/2023</v>
      </c>
      <c r="K26" s="165" t="str">
        <f>IFERROR(INDEX(Logs!$F$2:$F$500,MATCH('Beneficiaries (10)'!$B26,Logs!$A$2:$A$500,0)),"")</f>
        <v>31/03/2024</v>
      </c>
      <c r="L26" s="165">
        <f>IFERROR(INDEX(Logs!$G$2:$G$500,MATCH('Beneficiaries (10)'!$B26,Logs!$A$2:$A$500,0)),0)</f>
        <v>17</v>
      </c>
      <c r="M26" s="165">
        <v>0</v>
      </c>
      <c r="N26" s="165">
        <f>L26+M26</f>
        <v>17</v>
      </c>
      <c r="O26" s="171">
        <f>IFERROR(INDEX(Logs!$H$2:$H$500,MATCH('Beneficiaries (10)'!$B26,Logs!$A$2:$A$500,0)),)</f>
        <v>204.16</v>
      </c>
      <c r="P26" s="172">
        <f>IFERROR(N26*O26,0)</f>
        <v>3470.72</v>
      </c>
      <c r="Q26" s="173"/>
      <c r="R26" s="145" t="s"/>
    </row>
    <row r="27">
      <c r="A27" s="144" t="str">
        <f>ID_Valid(E27)</f>
      </c>
      <c r="B27" s="165">
        <v>198</v>
      </c>
      <c r="C27" s="170" t="str">
        <f>IFERROR(INDEX(Logs!$B$2:$B$500,MATCH('Beneficiaries (10)'!$B27,Logs!$A$2:$A$500,0)),"")</f>
        <v>Silvia</v>
      </c>
      <c r="D27" s="166" t="str">
        <f>IFERROR(INDEX(Logs!$C$2:$C$500,MATCH('Beneficiaries (10)'!$B27,Logs!$A$2:$A$500,0)),"")</f>
        <v>Jenkins</v>
      </c>
      <c r="E27" s="167" t="str">
        <f>IFERROR(INDEX(Logs!$D$2:$D$500,MATCH('Beneficiaries (10)'!$B27,Logs!$A$2:$A$500,0)),"")</f>
        <v>7207300323080</v>
      </c>
      <c r="F27" s="168" t="s">
        <v>125</v>
      </c>
      <c r="G27" s="165" t="str">
        <f>TheGender(E27)</f>
        <v>F</v>
      </c>
      <c r="H27" s="165" t="s">
        <v>125</v>
      </c>
      <c r="I27" s="165" t="s">
        <v>126</v>
      </c>
      <c r="J27" s="165" t="str">
        <f>IFERROR(INDEX(Logs!$E$2:$E$500,MATCH('Beneficiaries (10)'!$B27,Logs!$A$2:$A$500,0)),"")</f>
        <v>01/05/2023</v>
      </c>
      <c r="K27" s="165" t="str">
        <f>IFERROR(INDEX(Logs!$F$2:$F$500,MATCH('Beneficiaries (10)'!$B27,Logs!$A$2:$A$500,0)),"")</f>
        <v>30/04/2024</v>
      </c>
      <c r="L27" s="165">
        <f>IFERROR(INDEX(Logs!$G$2:$G$500,MATCH('Beneficiaries (10)'!$B27,Logs!$A$2:$A$500,0)),0)</f>
        <v>17</v>
      </c>
      <c r="M27" s="165">
        <v>0</v>
      </c>
      <c r="N27" s="165">
        <f>L27+M27</f>
        <v>17</v>
      </c>
      <c r="O27" s="171">
        <f>IFERROR(INDEX(Logs!$H$2:$H$500,MATCH('Beneficiaries (10)'!$B27,Logs!$A$2:$A$500,0)),)</f>
        <v>204.16</v>
      </c>
      <c r="P27" s="172">
        <f>IFERROR(N27*O27,0)</f>
        <v>3470.72</v>
      </c>
      <c r="Q27" s="173"/>
      <c r="R27" s="145" t="s"/>
    </row>
    <row r="28">
      <c r="A28" s="144" t="str">
        <f>ID_Valid(E28)</f>
      </c>
      <c r="B28" s="165">
        <v>199</v>
      </c>
      <c r="C28" s="170" t="str">
        <f>IFERROR(INDEX(Logs!$B$2:$B$500,MATCH('Beneficiaries (10)'!$B28,Logs!$A$2:$A$500,0)),"")</f>
        <v>Anthony</v>
      </c>
      <c r="D28" s="166" t="str">
        <f>IFERROR(INDEX(Logs!$C$2:$C$500,MATCH('Beneficiaries (10)'!$B28,Logs!$A$2:$A$500,0)),"")</f>
        <v>Rich</v>
      </c>
      <c r="E28" s="167" t="str">
        <f>IFERROR(INDEX(Logs!$D$2:$D$500,MATCH('Beneficiaries (10)'!$B28,Logs!$A$2:$A$500,0)),"")</f>
        <v>7809035210084</v>
      </c>
      <c r="F28" s="168" t="s">
        <v>125</v>
      </c>
      <c r="G28" s="165" t="str">
        <f>TheGender(E28)</f>
        <v>M</v>
      </c>
      <c r="H28" s="165" t="s">
        <v>125</v>
      </c>
      <c r="I28" s="165" t="s">
        <v>126</v>
      </c>
      <c r="J28" s="165" t="str">
        <f>IFERROR(INDEX(Logs!$E$2:$E$500,MATCH('Beneficiaries (10)'!$B28,Logs!$A$2:$A$500,0)),"")</f>
        <v>01/05/2023</v>
      </c>
      <c r="K28" s="165" t="str">
        <f>IFERROR(INDEX(Logs!$F$2:$F$500,MATCH('Beneficiaries (10)'!$B28,Logs!$A$2:$A$500,0)),"")</f>
        <v>30/04/2024</v>
      </c>
      <c r="L28" s="165">
        <f>IFERROR(INDEX(Logs!$G$2:$G$500,MATCH('Beneficiaries (10)'!$B28,Logs!$A$2:$A$500,0)),0)</f>
        <v>17</v>
      </c>
      <c r="M28" s="165">
        <v>0</v>
      </c>
      <c r="N28" s="165">
        <f>L28+M28</f>
        <v>17</v>
      </c>
      <c r="O28" s="171">
        <f>IFERROR(INDEX(Logs!$H$2:$H$500,MATCH('Beneficiaries (10)'!$B28,Logs!$A$2:$A$500,0)),)</f>
        <v>204.16</v>
      </c>
      <c r="P28" s="172">
        <f>IFERROR(N28*O28,0)</f>
        <v>3470.72</v>
      </c>
      <c r="Q28" s="173"/>
      <c r="R28" s="145" t="s"/>
    </row>
    <row r="29">
      <c r="A29" s="144" t="str">
        <f>ID_Valid(E29)</f>
      </c>
      <c r="B29" s="165">
        <v>200</v>
      </c>
      <c r="C29" s="170" t="str">
        <f>IFERROR(INDEX(Logs!$B$2:$B$500,MATCH('Beneficiaries (10)'!$B29,Logs!$A$2:$A$500,0)),"")</f>
        <v>Cleo</v>
      </c>
      <c r="D29" s="170" t="str">
        <f>IFERROR(INDEX(Logs!$C$2:$C$500,MATCH('Beneficiaries (10)'!$B29,Logs!$A$2:$A$500,0)),"")</f>
        <v>Vogel</v>
      </c>
      <c r="E29" s="167" t="str">
        <f>IFERROR(INDEX(Logs!$D$2:$D$500,MATCH('Beneficiaries (10)'!$B29,Logs!$A$2:$A$500,0)),"")</f>
        <v>9809080165082</v>
      </c>
      <c r="F29" s="168" t="s">
        <v>125</v>
      </c>
      <c r="G29" s="165" t="str">
        <f>TheGender(E29)</f>
        <v>F</v>
      </c>
      <c r="H29" s="165" t="s">
        <v>125</v>
      </c>
      <c r="I29" s="165" t="s">
        <v>126</v>
      </c>
      <c r="J29" s="165" t="str">
        <f>IFERROR(INDEX(Logs!$E$2:$E$500,MATCH('Beneficiaries (10)'!$B29,Logs!$A$2:$A$500,0)),"")</f>
        <v>01/05/2023</v>
      </c>
      <c r="K29" s="165" t="str">
        <f>IFERROR(INDEX(Logs!$F$2:$F$500,MATCH('Beneficiaries (10)'!$B29,Logs!$A$2:$A$500,0)),"")</f>
        <v>30/04/2024</v>
      </c>
      <c r="L29" s="165">
        <f>IFERROR(INDEX(Logs!$G$2:$G$500,MATCH('Beneficiaries (10)'!$B29,Logs!$A$2:$A$500,0)),0)</f>
        <v>17</v>
      </c>
      <c r="M29" s="165">
        <v>0</v>
      </c>
      <c r="N29" s="165">
        <f>L29+M29</f>
        <v>17</v>
      </c>
      <c r="O29" s="171">
        <f>IFERROR(INDEX(Logs!$H$2:$H$500,MATCH('Beneficiaries (10)'!$B29,Logs!$A$2:$A$500,0)),)</f>
        <v>204.16</v>
      </c>
      <c r="P29" s="172">
        <f>IFERROR(N29*O29,0)</f>
        <v>3470.72</v>
      </c>
      <c r="Q29" s="173"/>
      <c r="R29" s="145" t="s"/>
    </row>
    <row r="30">
      <c r="A30" s="144" t="s"/>
      <c r="B30" s="175"/>
      <c r="C30" s="175"/>
      <c r="D30" s="175"/>
      <c r="E30" s="175"/>
      <c r="F30" s="175"/>
      <c r="G30" s="175"/>
      <c r="H30" s="175"/>
      <c r="I30" s="175"/>
      <c r="J30" s="175"/>
      <c r="K30" s="175"/>
      <c r="L30" s="176">
        <f>SUM(L10:L29)</f>
        <v>415</v>
      </c>
      <c r="M30" s="176">
        <f>SUM(M10:M29)</f>
        <v>0</v>
      </c>
      <c r="N30" s="176">
        <f>SUM(N10:N29)</f>
        <v>415</v>
      </c>
      <c r="O30" s="177">
        <f>SUM(O10:O29)</f>
        <v>4097.119999999999</v>
      </c>
      <c r="P30" s="178">
        <f>SUM(P10:P29)</f>
        <v>85032.639999999985</v>
      </c>
      <c r="Q30" s="179"/>
      <c r="R30" s="145" t="s"/>
    </row>
    <row r="31" ht="27" customHeight="true">
      <c r="A31" s="144" t="s"/>
      <c r="B31" s="180" t="s">
        <v>127</v>
      </c>
      <c r="C31" s="180"/>
      <c r="D31" s="181" t="s">
        <v>128</v>
      </c>
      <c r="E31" s="153" t="str">
        <f>Project!$G$30</f>
        <v>Benjamin Milandou-Loubeka</v>
      </c>
      <c r="F31" s="153"/>
      <c r="G31" s="153"/>
      <c r="H31" s="153" t="s">
        <v>129</v>
      </c>
      <c r="I31" s="157"/>
      <c r="J31" s="157"/>
      <c r="K31" s="157"/>
      <c r="L31" s="157"/>
      <c r="M31" s="157"/>
      <c r="N31" s="157"/>
      <c r="O31" s="157"/>
      <c r="P31" s="157"/>
      <c r="Q31" s="14"/>
      <c r="R31" s="145" t="s"/>
    </row>
    <row r="32" ht="27" customHeight="true">
      <c r="A32" s="144" t="s"/>
      <c r="B32" s="180"/>
      <c r="C32" s="180"/>
      <c r="D32" s="181" t="s">
        <v>130</v>
      </c>
      <c r="E32" s="182">
        <f>Project!$AN$1</f>
        <v>45199</v>
      </c>
      <c r="F32" s="182"/>
      <c r="G32" s="182"/>
      <c r="H32" s="153"/>
      <c r="I32" s="157"/>
      <c r="J32" s="157"/>
      <c r="K32" s="157"/>
      <c r="L32" s="157"/>
      <c r="M32" s="157"/>
      <c r="N32" s="157"/>
      <c r="O32" s="157"/>
      <c r="P32" s="157"/>
      <c r="Q32" s="14"/>
      <c r="R32" s="145" t="s"/>
    </row>
    <row r="33" ht="14.25" customHeight="true">
      <c r="A33" s="144" t="s"/>
      <c r="B33" s="158"/>
      <c r="C33" s="158"/>
      <c r="D33" s="183"/>
      <c r="E33" s="14"/>
      <c r="F33" s="14"/>
      <c r="G33" s="14"/>
      <c r="H33" s="148"/>
      <c r="I33" s="14"/>
      <c r="J33" s="14"/>
      <c r="K33" s="14"/>
      <c r="L33" s="14"/>
      <c r="M33" s="14"/>
      <c r="N33" s="14"/>
      <c r="O33" s="14"/>
      <c r="P33" s="14"/>
      <c r="Q33" s="14"/>
    </row>
    <row r="34" ht="27" customHeight="true">
      <c r="A34" s="144" t="s"/>
      <c r="B34" s="180" t="s">
        <v>131</v>
      </c>
      <c r="C34" s="180"/>
      <c r="D34" s="181" t="s">
        <v>128</v>
      </c>
      <c r="E34" s="157"/>
      <c r="F34" s="157"/>
      <c r="G34" s="157"/>
      <c r="H34" s="153" t="s">
        <v>129</v>
      </c>
      <c r="I34" s="157"/>
      <c r="J34" s="157"/>
      <c r="K34" s="157"/>
      <c r="L34" s="157"/>
      <c r="M34" s="157"/>
      <c r="N34" s="157"/>
      <c r="O34" s="157"/>
      <c r="P34" s="157"/>
      <c r="Q34" s="14"/>
    </row>
    <row r="35" ht="27" customHeight="true">
      <c r="A35" s="144" t="s"/>
      <c r="B35" s="180"/>
      <c r="C35" s="180"/>
      <c r="D35" s="181" t="s">
        <v>130</v>
      </c>
      <c r="E35" s="157"/>
      <c r="F35" s="157"/>
      <c r="G35" s="157"/>
      <c r="H35" s="153"/>
      <c r="I35" s="157"/>
      <c r="J35" s="157"/>
      <c r="K35" s="157"/>
      <c r="L35" s="157"/>
      <c r="M35" s="157"/>
      <c r="N35" s="157"/>
      <c r="O35" s="157"/>
      <c r="P35" s="157"/>
      <c r="Q35" s="14"/>
    </row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>
      <c r="A74" s="144" t="s"/>
      <c r="B74" s="14"/>
    </row>
  </sheetData>
  <dataValidations count="1">
    <dataValidation allowBlank="true" showInputMessage="true" showErrorMessage="true" promptTitle="Month" type="" sqref="I6">
      <formula1/>
    </dataValidation>
  </dataValidations>
  <mergeCells count="14">
    <mergeCell ref="B3:P3"/>
    <mergeCell ref="B5:C6"/>
    <mergeCell ref="D5:E6"/>
    <mergeCell ref="K5:M5"/>
    <mergeCell ref="B31:C32"/>
    <mergeCell ref="E31:G31"/>
    <mergeCell ref="H31:H32"/>
    <mergeCell ref="I31:P32"/>
    <mergeCell ref="E32:G32"/>
    <mergeCell ref="B34:C35"/>
    <mergeCell ref="E34:G34"/>
    <mergeCell ref="H34:H35"/>
    <mergeCell ref="I34:P35"/>
    <mergeCell ref="E35:G35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12.xml><?xml version="1.0" encoding="utf-8"?>
<worksheet xmlns="http://schemas.openxmlformats.org/spreadsheetml/2006/main">
  <sheetPr filterMode="false">
    <pageSetUpPr fitToPage="false"/>
  </sheetPr>
  <dimension ref="A1:R74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85546875" defaultRowHeight="12.75"/>
  <cols>
    <col collapsed="false" hidden="false" max="1" min="1" style="144" width="20.7109375" customWidth="true"/>
    <col collapsed="false" hidden="false" max="2" min="2" style="1" width="4.42578125" customWidth="true"/>
    <col collapsed="false" hidden="false" max="5" min="3" style="1" width="24.42578125" customWidth="true"/>
    <col collapsed="false" hidden="false" max="5" min="3" style="1" width="24.42578125" customWidth="true"/>
    <col collapsed="false" hidden="false" max="5" min="3" style="1" width="24.42578125" customWidth="true"/>
    <col collapsed="false" hidden="false" max="6" min="6" style="1" width="10.140625" customWidth="true"/>
    <col collapsed="false" hidden="false" max="9" min="7" style="1" width="8.85546875" customWidth="true"/>
    <col collapsed="false" hidden="false" max="9" min="7" style="1" width="8.85546875" customWidth="true"/>
    <col collapsed="false" hidden="false" max="9" min="7" style="1" width="8.85546875" customWidth="true"/>
    <col collapsed="false" hidden="false" max="11" min="10" style="1" width="10.140625" customWidth="true"/>
    <col collapsed="false" hidden="false" max="11" min="10" style="1" width="10.14062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7" min="16" style="1" width="14.5703125" customWidth="true"/>
    <col collapsed="false" hidden="false" max="17" min="16" style="1" width="14.5703125" customWidth="true"/>
    <col collapsed="false" hidden="false" max="18" min="18" style="145" width="8.85546875" customWidth="true"/>
  </cols>
  <sheetData>
    <row r="1">
      <c r="A1" s="144" t="s"/>
      <c r="B1" s="146" t="s">
        <v>96</v>
      </c>
      <c r="C1" s="2"/>
      <c r="D1" s="2"/>
      <c r="E1" s="147" t="s">
        <v>2</v>
      </c>
      <c r="F1" s="1" t="s"/>
      <c r="G1" s="2"/>
      <c r="H1" s="2"/>
      <c r="I1" s="2"/>
      <c r="J1" s="1" t="s"/>
      <c r="K1" s="1" t="s"/>
      <c r="L1" s="1" t="s"/>
      <c r="M1" s="1" t="s"/>
      <c r="N1" s="1" t="s"/>
      <c r="O1" s="1" t="s"/>
      <c r="P1" s="1" t="s"/>
      <c r="Q1" s="1" t="s"/>
      <c r="R1" s="11">
        <f>IF(Beneficiaries!$P$30&gt;0,1,"")</f>
        <v>1</v>
      </c>
    </row>
    <row r="2">
      <c r="A2" s="144" t="s"/>
      <c r="B2" s="1" t="s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11">
        <f>IF('Beneficiaries (2)'!$P$30&gt;0,1,"")</f>
        <v>1</v>
      </c>
    </row>
    <row r="3">
      <c r="A3" s="144" t="s"/>
      <c r="B3" s="148" t="s">
        <v>97</v>
      </c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1">
        <f>IF('Beneficiaries (3)'!$P$30&gt;0,1,"")</f>
        <v>1</v>
      </c>
    </row>
    <row r="4">
      <c r="A4" s="144" t="s"/>
      <c r="B4" s="1" t="s"/>
      <c r="C4" s="146"/>
      <c r="D4" s="146"/>
      <c r="E4" s="146"/>
      <c r="F4" s="146"/>
      <c r="G4" s="146"/>
      <c r="H4" s="1" t="s"/>
      <c r="I4" s="1" t="s"/>
      <c r="J4" s="1" t="s"/>
      <c r="K4" s="1" t="s"/>
      <c r="L4" s="1" t="s"/>
      <c r="M4" s="1" t="s"/>
      <c r="N4" s="1" t="s"/>
      <c r="O4" s="1" t="s"/>
      <c r="P4" s="1" t="s"/>
      <c r="Q4" s="1" t="s"/>
      <c r="R4" s="11">
        <f>IF('Beneficiaries (4)'!$P$30&gt;0,1,"")</f>
        <v>1</v>
      </c>
    </row>
    <row r="5" ht="12.75" customHeight="true">
      <c r="A5" s="144" t="s"/>
      <c r="B5" s="149" t="s">
        <v>98</v>
      </c>
      <c r="C5" s="150"/>
      <c r="D5" s="151" t="str">
        <f>Project!$Z$25</f>
        <v>WSDS/24/111i</v>
      </c>
      <c r="E5" s="151"/>
      <c r="F5" s="152"/>
      <c r="G5" s="1" t="s"/>
      <c r="H5" s="153" t="s">
        <v>99</v>
      </c>
      <c r="I5" s="153" t="s">
        <v>100</v>
      </c>
      <c r="J5" s="146"/>
      <c r="K5" s="154" t="s">
        <v>101</v>
      </c>
      <c r="L5" s="154"/>
      <c r="M5" s="154"/>
      <c r="N5" s="39"/>
      <c r="O5" s="39"/>
      <c r="P5" s="146"/>
      <c r="Q5" s="146"/>
      <c r="R5" s="11">
        <f>IF('Beneficiaries (5)'!$P$30&gt;0,1,"")</f>
        <v>1</v>
      </c>
    </row>
    <row r="6">
      <c r="A6" s="144" t="s"/>
      <c r="B6" s="155"/>
      <c r="C6" s="156"/>
      <c r="D6" s="151"/>
      <c r="E6" s="151"/>
      <c r="F6" s="152"/>
      <c r="G6" s="1" t="s"/>
      <c r="H6" s="109" t="str">
        <f>TEXT(Project!$AN$1,"YYYY")</f>
        <v>2023</v>
      </c>
      <c r="I6" s="109" t="str">
        <f>TEXT(Project!$AN$1,"MMMM")</f>
        <v>September</v>
      </c>
      <c r="J6" s="7"/>
      <c r="K6" s="157">
        <v>1</v>
      </c>
      <c r="L6" s="154" t="s">
        <v>102</v>
      </c>
      <c r="M6" s="154">
        <f>IF(K6&gt;0,COUNT(R1:R20),"")</f>
        <v>14</v>
      </c>
      <c r="N6" s="39"/>
      <c r="O6" s="39"/>
      <c r="P6" s="14"/>
      <c r="Q6" s="14"/>
      <c r="R6" s="11">
        <f>IF('Beneficiaries (6)'!$P$30&gt;0,1,"")</f>
        <v>1</v>
      </c>
    </row>
    <row r="7">
      <c r="A7" s="144" t="s"/>
      <c r="B7" s="158"/>
      <c r="C7" s="158"/>
      <c r="D7" s="158"/>
      <c r="E7" s="14"/>
      <c r="F7" s="14"/>
      <c r="G7" s="1" t="s"/>
      <c r="H7" s="7"/>
      <c r="I7" s="7"/>
      <c r="J7" s="7"/>
      <c r="K7" s="14"/>
      <c r="L7" s="39"/>
      <c r="M7" s="39"/>
      <c r="N7" s="39"/>
      <c r="O7" s="39"/>
      <c r="P7" s="14"/>
      <c r="Q7" s="14"/>
      <c r="R7" s="11">
        <f>IF('Beneficiaries (7)'!$P$30&gt;0,1,"")</f>
        <v>1</v>
      </c>
    </row>
    <row r="8">
      <c r="A8" s="144" t="s"/>
      <c r="B8" s="159"/>
      <c r="C8" s="160" t="s">
        <v>103</v>
      </c>
      <c r="D8" s="160" t="s">
        <v>103</v>
      </c>
      <c r="E8" s="160" t="s">
        <v>103</v>
      </c>
      <c r="F8" s="160" t="s">
        <v>104</v>
      </c>
      <c r="G8" s="159"/>
      <c r="H8" s="159"/>
      <c r="I8" s="160" t="s">
        <v>105</v>
      </c>
      <c r="J8" s="159"/>
      <c r="K8" s="160" t="s">
        <v>106</v>
      </c>
      <c r="L8" s="160" t="s">
        <v>107</v>
      </c>
      <c r="M8" s="160" t="s">
        <v>108</v>
      </c>
      <c r="N8" s="160"/>
      <c r="O8" s="160" t="s">
        <v>109</v>
      </c>
      <c r="P8" s="160"/>
      <c r="Q8" s="161"/>
      <c r="R8" s="11">
        <f>IF('Beneficiaries (8)'!$P$30&gt;0,1,"")</f>
        <v>1</v>
      </c>
    </row>
    <row r="9">
      <c r="A9" s="144" t="s"/>
      <c r="B9" s="162" t="s">
        <v>110</v>
      </c>
      <c r="C9" s="162" t="s">
        <v>111</v>
      </c>
      <c r="D9" s="162" t="s">
        <v>112</v>
      </c>
      <c r="E9" s="162" t="s">
        <v>113</v>
      </c>
      <c r="F9" s="163" t="s">
        <v>114</v>
      </c>
      <c r="G9" s="163" t="s">
        <v>115</v>
      </c>
      <c r="H9" s="163" t="s">
        <v>116</v>
      </c>
      <c r="I9" s="163" t="s">
        <v>117</v>
      </c>
      <c r="J9" s="163" t="s">
        <v>118</v>
      </c>
      <c r="K9" s="163" t="s">
        <v>119</v>
      </c>
      <c r="L9" s="163" t="s">
        <v>120</v>
      </c>
      <c r="M9" s="163" t="s">
        <v>121</v>
      </c>
      <c r="N9" s="163" t="s">
        <v>122</v>
      </c>
      <c r="O9" s="163" t="s">
        <v>123</v>
      </c>
      <c r="P9" s="163" t="s">
        <v>124</v>
      </c>
      <c r="Q9" s="164"/>
      <c r="R9" s="11">
        <f>IF('Beneficiaries (9)'!$P$30&gt;0,1,"")</f>
        <v>1</v>
      </c>
    </row>
    <row r="10">
      <c r="A10" s="144" t="str">
        <f>ID_Valid(E10)</f>
      </c>
      <c r="B10" s="165">
        <v>201</v>
      </c>
      <c r="C10" s="166" t="str">
        <f>IFERROR(INDEX(Logs!$B$2:$B$500,MATCH('Beneficiaries (11)'!$B10,Logs!$A$2:$A$500,0)),"")</f>
        <v>Mkhululi</v>
      </c>
      <c r="D10" s="166" t="str">
        <f>IFERROR(INDEX(Logs!$C$2:$C$500,MATCH('Beneficiaries (11)'!$B10,Logs!$A$2:$A$500,0)),"")</f>
        <v>Rorwana</v>
      </c>
      <c r="E10" s="167" t="str">
        <f>IFERROR(INDEX(Logs!$D$2:$D$500,MATCH('Beneficiaries (11)'!$B10,Logs!$A$2:$A$500,0)),"")</f>
        <v>8701106314086</v>
      </c>
      <c r="F10" s="168" t="s">
        <v>125</v>
      </c>
      <c r="G10" s="165" t="str">
        <f>TheGender(E10)</f>
        <v>M</v>
      </c>
      <c r="H10" s="165" t="s">
        <v>125</v>
      </c>
      <c r="I10" s="169" t="s">
        <v>126</v>
      </c>
      <c r="J10" s="170" t="str">
        <f>IFERROR(INDEX(Logs!$E$2:$E$500,MATCH('Beneficiaries (11)'!$B10,Logs!$A$2:$A$500,0)),"")</f>
        <v>01/05/2023</v>
      </c>
      <c r="K10" s="170" t="str">
        <f>IFERROR(INDEX(Logs!$F$2:$F$500,MATCH('Beneficiaries (11)'!$B10,Logs!$A$2:$A$500,0)),"")</f>
        <v>30/04/2024</v>
      </c>
      <c r="L10" s="165">
        <f>IFERROR(INDEX(Logs!$G$2:$G$500,MATCH('Beneficiaries (11)'!$B10,Logs!$A$2:$A$500,0)),0)</f>
        <v>22</v>
      </c>
      <c r="M10" s="165">
        <v>0</v>
      </c>
      <c r="N10" s="165">
        <f>M10+L10</f>
        <v>22</v>
      </c>
      <c r="O10" s="171">
        <f>IFERROR(INDEX(Logs!$H$2:$H$500,MATCH('Beneficiaries (11)'!$B10,Logs!$A$2:$A$500,0)),)</f>
        <v>204.16</v>
      </c>
      <c r="P10" s="172">
        <f>IFERROR(N10*O10,0)</f>
        <v>4491.5199999999995</v>
      </c>
      <c r="Q10" s="173"/>
      <c r="R10" s="11">
        <f>IF('Beneficiaries (10)'!$P$30&gt;0,1,"")</f>
        <v>1</v>
      </c>
    </row>
    <row r="11">
      <c r="A11" s="144" t="str">
        <f>ID_Valid(E11)</f>
      </c>
      <c r="B11" s="165">
        <v>202</v>
      </c>
      <c r="C11" s="166" t="str">
        <f>IFERROR(INDEX(Logs!$B$2:$B$500,MATCH('Beneficiaries (11)'!$B11,Logs!$A$2:$A$500,0)),"")</f>
        <v>Nomusa</v>
      </c>
      <c r="D11" s="166" t="str">
        <f>IFERROR(INDEX(Logs!$C$2:$C$500,MATCH('Beneficiaries (11)'!$B11,Logs!$A$2:$A$500,0)),"")</f>
        <v>Taleni</v>
      </c>
      <c r="E11" s="167" t="str">
        <f>IFERROR(INDEX(Logs!$D$2:$D$500,MATCH('Beneficiaries (11)'!$B11,Logs!$A$2:$A$500,0)),"")</f>
        <v>9108140260086</v>
      </c>
      <c r="F11" s="168" t="s">
        <v>125</v>
      </c>
      <c r="G11" s="165" t="str">
        <f>TheGender(E11)</f>
        <v>F</v>
      </c>
      <c r="H11" s="165" t="s">
        <v>125</v>
      </c>
      <c r="I11" s="165" t="s">
        <v>126</v>
      </c>
      <c r="J11" s="165" t="str">
        <f>IFERROR(INDEX(Logs!$E$2:$E$500,MATCH('Beneficiaries (11)'!$B11,Logs!$A$2:$A$500,0)),"")</f>
        <v>01/05/2023</v>
      </c>
      <c r="K11" s="165" t="str">
        <f>IFERROR(INDEX(Logs!$F$2:$F$500,MATCH('Beneficiaries (11)'!$B11,Logs!$A$2:$A$500,0)),"")</f>
        <v>30/04/2024</v>
      </c>
      <c r="L11" s="165">
        <f>IFERROR(INDEX(Logs!$G$2:$G$500,MATCH('Beneficiaries (11)'!$B11,Logs!$A$2:$A$500,0)),0)</f>
        <v>22</v>
      </c>
      <c r="M11" s="165">
        <v>0</v>
      </c>
      <c r="N11" s="165">
        <f>L11+M11</f>
        <v>22</v>
      </c>
      <c r="O11" s="171">
        <f>IFERROR(INDEX(Logs!$H$2:$H$500,MATCH('Beneficiaries (11)'!$B11,Logs!$A$2:$A$500,0)),)</f>
        <v>204.16</v>
      </c>
      <c r="P11" s="172">
        <f>IFERROR(N11*O11,0)</f>
        <v>4491.5199999999995</v>
      </c>
      <c r="Q11" s="173"/>
      <c r="R11" s="11">
        <f>IF('Beneficiaries (11)'!$P$30&gt;0,1,"")</f>
        <v>1</v>
      </c>
    </row>
    <row r="12">
      <c r="A12" s="144" t="str">
        <f>ID_Valid(E12)</f>
      </c>
      <c r="B12" s="165">
        <v>203</v>
      </c>
      <c r="C12" s="166" t="str">
        <f>IFERROR(INDEX(Logs!$B$2:$B$500,MATCH('Beneficiaries (11)'!$B12,Logs!$A$2:$A$500,0)),"")</f>
        <v>Sanelise</v>
      </c>
      <c r="D12" s="166" t="str">
        <f>IFERROR(INDEX(Logs!$C$2:$C$500,MATCH('Beneficiaries (11)'!$B12,Logs!$A$2:$A$500,0)),"")</f>
        <v>Maqhina</v>
      </c>
      <c r="E12" s="167" t="str">
        <f>IFERROR(INDEX(Logs!$D$2:$D$500,MATCH('Beneficiaries (11)'!$B12,Logs!$A$2:$A$500,0)),"")</f>
        <v>9906135448081</v>
      </c>
      <c r="F12" s="168" t="s">
        <v>125</v>
      </c>
      <c r="G12" s="165" t="str">
        <f>TheGender(E12)</f>
        <v>M</v>
      </c>
      <c r="H12" s="165" t="s">
        <v>125</v>
      </c>
      <c r="I12" s="165" t="s">
        <v>126</v>
      </c>
      <c r="J12" s="165" t="str">
        <f>IFERROR(INDEX(Logs!$E$2:$E$500,MATCH('Beneficiaries (11)'!$B12,Logs!$A$2:$A$500,0)),"")</f>
        <v>01/05/2023</v>
      </c>
      <c r="K12" s="165" t="str">
        <f>IFERROR(INDEX(Logs!$F$2:$F$500,MATCH('Beneficiaries (11)'!$B12,Logs!$A$2:$A$500,0)),"")</f>
        <v>30/04/2024</v>
      </c>
      <c r="L12" s="165">
        <f>IFERROR(INDEX(Logs!$G$2:$G$500,MATCH('Beneficiaries (11)'!$B12,Logs!$A$2:$A$500,0)),0)</f>
        <v>22</v>
      </c>
      <c r="M12" s="165">
        <v>0</v>
      </c>
      <c r="N12" s="165">
        <f>L12+M12</f>
        <v>22</v>
      </c>
      <c r="O12" s="171">
        <f>IFERROR(INDEX(Logs!$H$2:$H$500,MATCH('Beneficiaries (11)'!$B12,Logs!$A$2:$A$500,0)),)</f>
        <v>204.16</v>
      </c>
      <c r="P12" s="172">
        <f>IFERROR(N12*O12,0)</f>
        <v>4491.5199999999995</v>
      </c>
      <c r="Q12" s="173"/>
      <c r="R12" s="11">
        <f>IF('Beneficiaries (12)'!$P$30&gt;0,1,"")</f>
        <v>1</v>
      </c>
    </row>
    <row r="13">
      <c r="A13" s="144" t="str">
        <f>ID_Valid(E13)</f>
      </c>
      <c r="B13" s="165">
        <v>204</v>
      </c>
      <c r="C13" s="166" t="str">
        <f>IFERROR(INDEX(Logs!$B$2:$B$500,MATCH('Beneficiaries (11)'!$B13,Logs!$A$2:$A$500,0)),"")</f>
        <v>Pamela</v>
      </c>
      <c r="D13" s="166" t="str">
        <f>IFERROR(INDEX(Logs!$C$2:$C$500,MATCH('Beneficiaries (11)'!$B13,Logs!$A$2:$A$500,0)),"")</f>
        <v>Van Rooyen</v>
      </c>
      <c r="E13" s="167" t="str">
        <f>IFERROR(INDEX(Logs!$D$2:$D$500,MATCH('Beneficiaries (11)'!$B13,Logs!$A$2:$A$500,0)),"")</f>
        <v>8411241184085</v>
      </c>
      <c r="F13" s="168" t="s">
        <v>125</v>
      </c>
      <c r="G13" s="165" t="str">
        <f>TheGender(E13)</f>
        <v>F</v>
      </c>
      <c r="H13" s="165" t="s">
        <v>125</v>
      </c>
      <c r="I13" s="165" t="s">
        <v>126</v>
      </c>
      <c r="J13" s="165" t="str">
        <f>IFERROR(INDEX(Logs!$E$2:$E$500,MATCH('Beneficiaries (11)'!$B13,Logs!$A$2:$A$500,0)),"")</f>
        <v>01/05/2023</v>
      </c>
      <c r="K13" s="165" t="str">
        <f>IFERROR(INDEX(Logs!$F$2:$F$500,MATCH('Beneficiaries (11)'!$B13,Logs!$A$2:$A$500,0)),"")</f>
        <v>30/04/2024</v>
      </c>
      <c r="L13" s="165">
        <f>IFERROR(INDEX(Logs!$G$2:$G$500,MATCH('Beneficiaries (11)'!$B13,Logs!$A$2:$A$500,0)),0)</f>
        <v>22</v>
      </c>
      <c r="M13" s="165">
        <v>0</v>
      </c>
      <c r="N13" s="165">
        <f>L13+M13</f>
        <v>22</v>
      </c>
      <c r="O13" s="171">
        <f>IFERROR(INDEX(Logs!$H$2:$H$500,MATCH('Beneficiaries (11)'!$B13,Logs!$A$2:$A$500,0)),)</f>
        <v>204.16</v>
      </c>
      <c r="P13" s="172">
        <f>IFERROR(N13*O13,0)</f>
        <v>4491.5199999999995</v>
      </c>
      <c r="Q13" s="173"/>
      <c r="R13" s="11">
        <f>IF('Beneficiaries (13)'!$P$30&gt;0,1,"")</f>
        <v>1</v>
      </c>
    </row>
    <row r="14">
      <c r="A14" s="144" t="str">
        <f>ID_Valid(E14)</f>
      </c>
      <c r="B14" s="165">
        <v>205</v>
      </c>
      <c r="C14" s="166" t="str">
        <f>IFERROR(INDEX(Logs!$B$2:$B$500,MATCH('Beneficiaries (11)'!$B14,Logs!$A$2:$A$500,0)),"")</f>
        <v>Nompumelelo</v>
      </c>
      <c r="D14" s="166" t="str">
        <f>IFERROR(INDEX(Logs!$C$2:$C$500,MATCH('Beneficiaries (11)'!$B14,Logs!$A$2:$A$500,0)),"")</f>
        <v>Buhlungu</v>
      </c>
      <c r="E14" s="167" t="str">
        <f>IFERROR(INDEX(Logs!$D$2:$D$500,MATCH('Beneficiaries (11)'!$B14,Logs!$A$2:$A$500,0)),"")</f>
        <v>8011180772088</v>
      </c>
      <c r="F14" s="168" t="s">
        <v>125</v>
      </c>
      <c r="G14" s="165" t="str">
        <f>TheGender(E14)</f>
        <v>F</v>
      </c>
      <c r="H14" s="165" t="s">
        <v>125</v>
      </c>
      <c r="I14" s="165" t="s">
        <v>126</v>
      </c>
      <c r="J14" s="165" t="str">
        <f>IFERROR(INDEX(Logs!$E$2:$E$500,MATCH('Beneficiaries (11)'!$B14,Logs!$A$2:$A$500,0)),"")</f>
        <v>01/05/2023</v>
      </c>
      <c r="K14" s="165" t="str">
        <f>IFERROR(INDEX(Logs!$F$2:$F$500,MATCH('Beneficiaries (11)'!$B14,Logs!$A$2:$A$500,0)),"")</f>
        <v>30/04/2024</v>
      </c>
      <c r="L14" s="165">
        <f>IFERROR(INDEX(Logs!$G$2:$G$500,MATCH('Beneficiaries (11)'!$B14,Logs!$A$2:$A$500,0)),0)</f>
        <v>22</v>
      </c>
      <c r="M14" s="165">
        <v>0</v>
      </c>
      <c r="N14" s="165">
        <f>L14+M14</f>
        <v>22</v>
      </c>
      <c r="O14" s="171">
        <f>IFERROR(INDEX(Logs!$H$2:$H$500,MATCH('Beneficiaries (11)'!$B14,Logs!$A$2:$A$500,0)),)</f>
        <v>218.08</v>
      </c>
      <c r="P14" s="172">
        <f>IFERROR(N14*O14,0)</f>
        <v>4797.76</v>
      </c>
      <c r="Q14" s="173"/>
      <c r="R14" s="11">
        <f>IF('Beneficiaries (14)'!$P$30&gt;0,1,"")</f>
        <v>1</v>
      </c>
    </row>
    <row r="15">
      <c r="A15" s="144" t="str">
        <f>ID_Valid(E15)</f>
      </c>
      <c r="B15" s="165">
        <v>206</v>
      </c>
      <c r="C15" s="166" t="str">
        <f>IFERROR(INDEX(Logs!$B$2:$B$500,MATCH('Beneficiaries (11)'!$B15,Logs!$A$2:$A$500,0)),"")</f>
        <v>Uthunathi</v>
      </c>
      <c r="D15" s="166" t="str">
        <f>IFERROR(INDEX(Logs!$C$2:$C$500,MATCH('Beneficiaries (11)'!$B15,Logs!$A$2:$A$500,0)),"")</f>
        <v>Desemela</v>
      </c>
      <c r="E15" s="167" t="str">
        <f>IFERROR(INDEX(Logs!$D$2:$D$500,MATCH('Beneficiaries (11)'!$B15,Logs!$A$2:$A$500,0)),"")</f>
        <v>0002200210082</v>
      </c>
      <c r="F15" s="168" t="s">
        <v>125</v>
      </c>
      <c r="G15" s="165" t="str">
        <f>TheGender(E15)</f>
        <v>F</v>
      </c>
      <c r="H15" s="165" t="s">
        <v>125</v>
      </c>
      <c r="I15" s="165" t="s">
        <v>126</v>
      </c>
      <c r="J15" s="165" t="str">
        <f>IFERROR(INDEX(Logs!$E$2:$E$500,MATCH('Beneficiaries (11)'!$B15,Logs!$A$2:$A$500,0)),"")</f>
        <v>01/05/2023</v>
      </c>
      <c r="K15" s="165" t="str">
        <f>IFERROR(INDEX(Logs!$F$2:$F$500,MATCH('Beneficiaries (11)'!$B15,Logs!$A$2:$A$500,0)),"")</f>
        <v>30/04/2024</v>
      </c>
      <c r="L15" s="165">
        <f>IFERROR(INDEX(Logs!$G$2:$G$500,MATCH('Beneficiaries (11)'!$B15,Logs!$A$2:$A$500,0)),0)</f>
        <v>22</v>
      </c>
      <c r="M15" s="165">
        <v>0</v>
      </c>
      <c r="N15" s="165">
        <f>L15+M15</f>
        <v>22</v>
      </c>
      <c r="O15" s="171">
        <f>IFERROR(INDEX(Logs!$H$2:$H$500,MATCH('Beneficiaries (11)'!$B15,Logs!$A$2:$A$500,0)),)</f>
        <v>204.16</v>
      </c>
      <c r="P15" s="172">
        <f>IFERROR(N15*O15,0)</f>
        <v>4491.5199999999995</v>
      </c>
      <c r="Q15" s="173"/>
      <c r="R15" s="145" t="s"/>
    </row>
    <row r="16">
      <c r="A16" s="144" t="str">
        <f>ID_Valid(E16)</f>
      </c>
      <c r="B16" s="165">
        <v>207</v>
      </c>
      <c r="C16" s="166" t="str">
        <f>IFERROR(INDEX(Logs!$B$2:$B$500,MATCH('Beneficiaries (11)'!$B16,Logs!$A$2:$A$500,0)),"")</f>
        <v>Mpheleki</v>
      </c>
      <c r="D16" s="166" t="str">
        <f>IFERROR(INDEX(Logs!$C$2:$C$500,MATCH('Beneficiaries (11)'!$B16,Logs!$A$2:$A$500,0)),"")</f>
        <v>Jwayi</v>
      </c>
      <c r="E16" s="167" t="str">
        <f>IFERROR(INDEX(Logs!$D$2:$D$500,MATCH('Beneficiaries (11)'!$B16,Logs!$A$2:$A$500,0)),"")</f>
        <v>7205185679089</v>
      </c>
      <c r="F16" s="168" t="s">
        <v>125</v>
      </c>
      <c r="G16" s="165" t="str">
        <f>TheGender(E16)</f>
        <v>M</v>
      </c>
      <c r="H16" s="165" t="s">
        <v>125</v>
      </c>
      <c r="I16" s="165" t="s">
        <v>126</v>
      </c>
      <c r="J16" s="165" t="str">
        <f>IFERROR(INDEX(Logs!$E$2:$E$500,MATCH('Beneficiaries (11)'!$B16,Logs!$A$2:$A$500,0)),"")</f>
        <v>01/05/2023</v>
      </c>
      <c r="K16" s="165" t="str">
        <f>IFERROR(INDEX(Logs!$F$2:$F$500,MATCH('Beneficiaries (11)'!$B16,Logs!$A$2:$A$500,0)),"")</f>
        <v>30/04/2024</v>
      </c>
      <c r="L16" s="165">
        <f>IFERROR(INDEX(Logs!$G$2:$G$500,MATCH('Beneficiaries (11)'!$B16,Logs!$A$2:$A$500,0)),0)</f>
        <v>22</v>
      </c>
      <c r="M16" s="165">
        <v>0</v>
      </c>
      <c r="N16" s="165">
        <f>L16+M16</f>
        <v>22</v>
      </c>
      <c r="O16" s="171">
        <f>IFERROR(INDEX(Logs!$H$2:$H$500,MATCH('Beneficiaries (11)'!$B16,Logs!$A$2:$A$500,0)),)</f>
        <v>204.16</v>
      </c>
      <c r="P16" s="172">
        <f>IFERROR(N16*O16,0)</f>
        <v>4491.5199999999995</v>
      </c>
      <c r="Q16" s="173"/>
      <c r="R16" s="145" t="s"/>
    </row>
    <row r="17">
      <c r="A17" s="144" t="str">
        <f>ID_Valid(E17)</f>
      </c>
      <c r="B17" s="165">
        <v>208</v>
      </c>
      <c r="C17" s="166" t="str">
        <f>IFERROR(INDEX(Logs!$B$2:$B$500,MATCH('Beneficiaries (11)'!$B17,Logs!$A$2:$A$500,0)),"")</f>
        <v>Mduduzi</v>
      </c>
      <c r="D17" s="166" t="str">
        <f>IFERROR(INDEX(Logs!$C$2:$C$500,MATCH('Beneficiaries (11)'!$B17,Logs!$A$2:$A$500,0)),"")</f>
        <v>Mongalo</v>
      </c>
      <c r="E17" s="167" t="str">
        <f>IFERROR(INDEX(Logs!$D$2:$D$500,MATCH('Beneficiaries (11)'!$B17,Logs!$A$2:$A$500,0)),"")</f>
        <v>7601115532085</v>
      </c>
      <c r="F17" s="168" t="s">
        <v>125</v>
      </c>
      <c r="G17" s="165" t="str">
        <f>TheGender(E17)</f>
        <v>M</v>
      </c>
      <c r="H17" s="165" t="s">
        <v>125</v>
      </c>
      <c r="I17" s="165" t="s">
        <v>126</v>
      </c>
      <c r="J17" s="165" t="str">
        <f>IFERROR(INDEX(Logs!$E$2:$E$500,MATCH('Beneficiaries (11)'!$B17,Logs!$A$2:$A$500,0)),"")</f>
        <v>01/05/2023</v>
      </c>
      <c r="K17" s="165" t="str">
        <f>IFERROR(INDEX(Logs!$F$2:$F$500,MATCH('Beneficiaries (11)'!$B17,Logs!$A$2:$A$500,0)),"")</f>
        <v>30/04/2024</v>
      </c>
      <c r="L17" s="165">
        <f>IFERROR(INDEX(Logs!$G$2:$G$500,MATCH('Beneficiaries (11)'!$B17,Logs!$A$2:$A$500,0)),0)</f>
        <v>22</v>
      </c>
      <c r="M17" s="165">
        <v>0</v>
      </c>
      <c r="N17" s="165">
        <f>L17+M17</f>
        <v>22</v>
      </c>
      <c r="O17" s="171">
        <f>IFERROR(INDEX(Logs!$H$2:$H$500,MATCH('Beneficiaries (11)'!$B17,Logs!$A$2:$A$500,0)),)</f>
        <v>204.16</v>
      </c>
      <c r="P17" s="172">
        <f>IFERROR(N17*O17,0)</f>
        <v>4491.5199999999995</v>
      </c>
      <c r="Q17" s="173"/>
    </row>
    <row r="18">
      <c r="A18" s="144" t="str">
        <f>ID_Valid(E18)</f>
      </c>
      <c r="B18" s="165">
        <v>209</v>
      </c>
      <c r="C18" s="166" t="str">
        <f>IFERROR(INDEX(Logs!$B$2:$B$500,MATCH('Beneficiaries (11)'!$B18,Logs!$A$2:$A$500,0)),"")</f>
        <v>Nomnikelo</v>
      </c>
      <c r="D18" s="166" t="str">
        <f>IFERROR(INDEX(Logs!$C$2:$C$500,MATCH('Beneficiaries (11)'!$B18,Logs!$A$2:$A$500,0)),"")</f>
        <v>Ngesi</v>
      </c>
      <c r="E18" s="167" t="str">
        <f>IFERROR(INDEX(Logs!$D$2:$D$500,MATCH('Beneficiaries (11)'!$B18,Logs!$A$2:$A$500,0)),"")</f>
        <v>8712240946089</v>
      </c>
      <c r="F18" s="168" t="s">
        <v>125</v>
      </c>
      <c r="G18" s="165" t="str">
        <f>TheGender(E18)</f>
        <v>F</v>
      </c>
      <c r="H18" s="165" t="s">
        <v>125</v>
      </c>
      <c r="I18" s="165" t="s">
        <v>126</v>
      </c>
      <c r="J18" s="165" t="str">
        <f>IFERROR(INDEX(Logs!$E$2:$E$500,MATCH('Beneficiaries (11)'!$B18,Logs!$A$2:$A$500,0)),"")</f>
        <v>01/05/2023</v>
      </c>
      <c r="K18" s="165" t="str">
        <f>IFERROR(INDEX(Logs!$F$2:$F$500,MATCH('Beneficiaries (11)'!$B18,Logs!$A$2:$A$500,0)),"")</f>
        <v>30/04/2024</v>
      </c>
      <c r="L18" s="165">
        <f>IFERROR(INDEX(Logs!$G$2:$G$500,MATCH('Beneficiaries (11)'!$B18,Logs!$A$2:$A$500,0)),0)</f>
        <v>22</v>
      </c>
      <c r="M18" s="165">
        <v>0</v>
      </c>
      <c r="N18" s="165">
        <f>L18+M18</f>
        <v>22</v>
      </c>
      <c r="O18" s="171">
        <f>IFERROR(INDEX(Logs!$H$2:$H$500,MATCH('Beneficiaries (11)'!$B18,Logs!$A$2:$A$500,0)),)</f>
        <v>204.16</v>
      </c>
      <c r="P18" s="172">
        <f>IFERROR(N18*O18,0)</f>
        <v>4491.5199999999995</v>
      </c>
      <c r="Q18" s="173"/>
    </row>
    <row r="19">
      <c r="A19" s="144" t="str">
        <f>ID_Valid(E19)</f>
      </c>
      <c r="B19" s="165">
        <v>210</v>
      </c>
      <c r="C19" s="166" t="str">
        <f>IFERROR(INDEX(Logs!$B$2:$B$500,MATCH('Beneficiaries (11)'!$B19,Logs!$A$2:$A$500,0)),"")</f>
        <v>Nomakhaya</v>
      </c>
      <c r="D19" s="166" t="str">
        <f>IFERROR(INDEX(Logs!$C$2:$C$500,MATCH('Beneficiaries (11)'!$B19,Logs!$A$2:$A$500,0)),"")</f>
        <v>Bukula</v>
      </c>
      <c r="E19" s="167" t="str">
        <f>IFERROR(INDEX(Logs!$D$2:$D$500,MATCH('Beneficiaries (11)'!$B19,Logs!$A$2:$A$500,0)),"")</f>
        <v>6505260816089</v>
      </c>
      <c r="F19" s="168" t="s">
        <v>125</v>
      </c>
      <c r="G19" s="165" t="str">
        <f>TheGender(E19)</f>
        <v>F</v>
      </c>
      <c r="H19" s="165" t="s">
        <v>125</v>
      </c>
      <c r="I19" s="165" t="s">
        <v>126</v>
      </c>
      <c r="J19" s="165" t="str">
        <f>IFERROR(INDEX(Logs!$E$2:$E$500,MATCH('Beneficiaries (11)'!$B19,Logs!$A$2:$A$500,0)),"")</f>
        <v>01/05/2023</v>
      </c>
      <c r="K19" s="165" t="str">
        <f>IFERROR(INDEX(Logs!$F$2:$F$500,MATCH('Beneficiaries (11)'!$B19,Logs!$A$2:$A$500,0)),"")</f>
        <v>30/04/2024</v>
      </c>
      <c r="L19" s="165">
        <f>IFERROR(INDEX(Logs!$G$2:$G$500,MATCH('Beneficiaries (11)'!$B19,Logs!$A$2:$A$500,0)),0)</f>
        <v>22</v>
      </c>
      <c r="M19" s="165">
        <v>0</v>
      </c>
      <c r="N19" s="165">
        <f>L19+M19</f>
        <v>22</v>
      </c>
      <c r="O19" s="171">
        <f>IFERROR(INDEX(Logs!$H$2:$H$500,MATCH('Beneficiaries (11)'!$B19,Logs!$A$2:$A$500,0)),)</f>
        <v>204.16</v>
      </c>
      <c r="P19" s="172">
        <f>IFERROR(N19*O19,0)</f>
        <v>4491.5199999999995</v>
      </c>
      <c r="Q19" s="173"/>
    </row>
    <row r="20">
      <c r="A20" s="144" t="str">
        <f>ID_Valid(E20)</f>
      </c>
      <c r="B20" s="165">
        <v>211</v>
      </c>
      <c r="C20" s="166" t="str">
        <f>IFERROR(INDEX(Logs!$B$2:$B$500,MATCH('Beneficiaries (11)'!$B20,Logs!$A$2:$A$500,0)),"")</f>
        <v>Mirriam</v>
      </c>
      <c r="D20" s="166" t="str">
        <f>IFERROR(INDEX(Logs!$C$2:$C$500,MATCH('Beneficiaries (11)'!$B20,Logs!$A$2:$A$500,0)),"")</f>
        <v>Masangweni</v>
      </c>
      <c r="E20" s="167" t="str">
        <f>IFERROR(INDEX(Logs!$D$2:$D$500,MATCH('Beneficiaries (11)'!$B20,Logs!$A$2:$A$500,0)),"")</f>
        <v>6910101486086</v>
      </c>
      <c r="F20" s="168" t="s">
        <v>125</v>
      </c>
      <c r="G20" s="165" t="str">
        <f>TheGender(E20)</f>
        <v>F</v>
      </c>
      <c r="H20" s="165" t="s">
        <v>125</v>
      </c>
      <c r="I20" s="165" t="s">
        <v>126</v>
      </c>
      <c r="J20" s="165" t="str">
        <f>IFERROR(INDEX(Logs!$E$2:$E$500,MATCH('Beneficiaries (11)'!$B20,Logs!$A$2:$A$500,0)),"")</f>
        <v>01/05/2023</v>
      </c>
      <c r="K20" s="165" t="str">
        <f>IFERROR(INDEX(Logs!$F$2:$F$500,MATCH('Beneficiaries (11)'!$B20,Logs!$A$2:$A$500,0)),"")</f>
        <v>30/04/2024</v>
      </c>
      <c r="L20" s="165">
        <f>IFERROR(INDEX(Logs!$G$2:$G$500,MATCH('Beneficiaries (11)'!$B20,Logs!$A$2:$A$500,0)),0)</f>
        <v>22</v>
      </c>
      <c r="M20" s="165">
        <v>0</v>
      </c>
      <c r="N20" s="165">
        <f>L20+M20</f>
        <v>22</v>
      </c>
      <c r="O20" s="171">
        <f>IFERROR(INDEX(Logs!$H$2:$H$500,MATCH('Beneficiaries (11)'!$B20,Logs!$A$2:$A$500,0)),)</f>
        <v>204.16</v>
      </c>
      <c r="P20" s="172">
        <f>IFERROR(N20*O20,0)</f>
        <v>4491.5199999999995</v>
      </c>
      <c r="Q20" s="173"/>
    </row>
    <row r="21">
      <c r="A21" s="144" t="str">
        <f>ID_Valid(E21)</f>
      </c>
      <c r="B21" s="165">
        <v>212</v>
      </c>
      <c r="C21" s="166" t="str">
        <f>IFERROR(INDEX(Logs!$B$2:$B$500,MATCH('Beneficiaries (11)'!$B21,Logs!$A$2:$A$500,0)),"")</f>
        <v>Xolelwa</v>
      </c>
      <c r="D21" s="166" t="str">
        <f>IFERROR(INDEX(Logs!$C$2:$C$500,MATCH('Beneficiaries (11)'!$B21,Logs!$A$2:$A$500,0)),"")</f>
        <v>Thoba</v>
      </c>
      <c r="E21" s="167" t="str">
        <f>IFERROR(INDEX(Logs!$D$2:$D$500,MATCH('Beneficiaries (11)'!$B21,Logs!$A$2:$A$500,0)),"")</f>
        <v>7706220556083</v>
      </c>
      <c r="F21" s="168" t="s">
        <v>125</v>
      </c>
      <c r="G21" s="165" t="str">
        <f>TheGender(E21)</f>
        <v>F</v>
      </c>
      <c r="H21" s="165" t="s">
        <v>125</v>
      </c>
      <c r="I21" s="165" t="s">
        <v>126</v>
      </c>
      <c r="J21" s="165" t="str">
        <f>IFERROR(INDEX(Logs!$E$2:$E$500,MATCH('Beneficiaries (11)'!$B21,Logs!$A$2:$A$500,0)),"")</f>
        <v>01/05/2023</v>
      </c>
      <c r="K21" s="165" t="str">
        <f>IFERROR(INDEX(Logs!$F$2:$F$500,MATCH('Beneficiaries (11)'!$B21,Logs!$A$2:$A$500,0)),"")</f>
        <v>30/04/2024</v>
      </c>
      <c r="L21" s="165">
        <f>IFERROR(INDEX(Logs!$G$2:$G$500,MATCH('Beneficiaries (11)'!$B21,Logs!$A$2:$A$500,0)),0)</f>
        <v>22</v>
      </c>
      <c r="M21" s="165">
        <v>0</v>
      </c>
      <c r="N21" s="165">
        <f>L21+M21</f>
        <v>22</v>
      </c>
      <c r="O21" s="171">
        <f>IFERROR(INDEX(Logs!$H$2:$H$500,MATCH('Beneficiaries (11)'!$B21,Logs!$A$2:$A$500,0)),)</f>
        <v>204.16</v>
      </c>
      <c r="P21" s="172">
        <f>IFERROR(N21*O21,0)</f>
        <v>4491.5199999999995</v>
      </c>
      <c r="Q21" s="173"/>
    </row>
    <row r="22">
      <c r="A22" s="144" t="str">
        <f>ID_Valid(E22)</f>
      </c>
      <c r="B22" s="165">
        <v>213</v>
      </c>
      <c r="C22" s="174" t="str">
        <f>IFERROR(INDEX(Logs!$B$2:$B$500,MATCH('Beneficiaries (11)'!$B22,Logs!$A$2:$A$500,0)),"")</f>
        <v>Noxolo</v>
      </c>
      <c r="D22" s="166" t="str">
        <f>IFERROR(INDEX(Logs!$C$2:$C$500,MATCH('Beneficiaries (11)'!$B22,Logs!$A$2:$A$500,0)),"")</f>
        <v>Dengemntu</v>
      </c>
      <c r="E22" s="167" t="str">
        <f>IFERROR(INDEX(Logs!$D$2:$D$500,MATCH('Beneficiaries (11)'!$B22,Logs!$A$2:$A$500,0)),"")</f>
        <v>8804011108088</v>
      </c>
      <c r="F22" s="168" t="s">
        <v>125</v>
      </c>
      <c r="G22" s="165" t="str">
        <f>TheGender(E22)</f>
        <v>F</v>
      </c>
      <c r="H22" s="165" t="s">
        <v>125</v>
      </c>
      <c r="I22" s="165" t="s">
        <v>126</v>
      </c>
      <c r="J22" s="165" t="str">
        <f>IFERROR(INDEX(Logs!$E$2:$E$500,MATCH('Beneficiaries (11)'!$B22,Logs!$A$2:$A$500,0)),"")</f>
        <v>01/05/2023</v>
      </c>
      <c r="K22" s="165" t="str">
        <f>IFERROR(INDEX(Logs!$F$2:$F$500,MATCH('Beneficiaries (11)'!$B22,Logs!$A$2:$A$500,0)),"")</f>
        <v>30/04/2024</v>
      </c>
      <c r="L22" s="165">
        <f>IFERROR(INDEX(Logs!$G$2:$G$500,MATCH('Beneficiaries (11)'!$B22,Logs!$A$2:$A$500,0)),0)</f>
        <v>22</v>
      </c>
      <c r="M22" s="165">
        <v>0</v>
      </c>
      <c r="N22" s="165">
        <f>L22+M22</f>
        <v>22</v>
      </c>
      <c r="O22" s="171">
        <f>IFERROR(INDEX(Logs!$H$2:$H$500,MATCH('Beneficiaries (11)'!$B22,Logs!$A$2:$A$500,0)),)</f>
        <v>204.16</v>
      </c>
      <c r="P22" s="172">
        <f>IFERROR(N22*O22,0)</f>
        <v>4491.5199999999995</v>
      </c>
      <c r="Q22" s="173"/>
    </row>
    <row r="23">
      <c r="A23" s="144" t="str">
        <f>ID_Valid(E23)</f>
      </c>
      <c r="B23" s="165">
        <v>214</v>
      </c>
      <c r="C23" s="174" t="str">
        <f>IFERROR(INDEX(Logs!$B$2:$B$500,MATCH('Beneficiaries (11)'!$B23,Logs!$A$2:$A$500,0)),"")</f>
        <v>Oliver</v>
      </c>
      <c r="D23" s="166" t="str">
        <f>IFERROR(INDEX(Logs!$C$2:$C$500,MATCH('Beneficiaries (11)'!$B23,Logs!$A$2:$A$500,0)),"")</f>
        <v>Matomela</v>
      </c>
      <c r="E23" s="167" t="str">
        <f>IFERROR(INDEX(Logs!$D$2:$D$500,MATCH('Beneficiaries (11)'!$B23,Logs!$A$2:$A$500,0)),"")</f>
        <v>6701115717081</v>
      </c>
      <c r="F23" s="168" t="s">
        <v>125</v>
      </c>
      <c r="G23" s="165" t="str">
        <f>TheGender(E23)</f>
        <v>M</v>
      </c>
      <c r="H23" s="165" t="s">
        <v>125</v>
      </c>
      <c r="I23" s="165" t="s">
        <v>126</v>
      </c>
      <c r="J23" s="165" t="str">
        <f>IFERROR(INDEX(Logs!$E$2:$E$500,MATCH('Beneficiaries (11)'!$B23,Logs!$A$2:$A$500,0)),"")</f>
        <v>01/05/2023</v>
      </c>
      <c r="K23" s="165" t="str">
        <f>IFERROR(INDEX(Logs!$F$2:$F$500,MATCH('Beneficiaries (11)'!$B23,Logs!$A$2:$A$500,0)),"")</f>
        <v>30/04/2024</v>
      </c>
      <c r="L23" s="165">
        <f>IFERROR(INDEX(Logs!$G$2:$G$500,MATCH('Beneficiaries (11)'!$B23,Logs!$A$2:$A$500,0)),0)</f>
        <v>18</v>
      </c>
      <c r="M23" s="165">
        <v>0</v>
      </c>
      <c r="N23" s="165">
        <f>L23+M23</f>
        <v>18</v>
      </c>
      <c r="O23" s="171">
        <f>IFERROR(INDEX(Logs!$H$2:$H$500,MATCH('Beneficiaries (11)'!$B23,Logs!$A$2:$A$500,0)),)</f>
        <v>204.16</v>
      </c>
      <c r="P23" s="172">
        <f>IFERROR(N23*O23,0)</f>
        <v>3674.88</v>
      </c>
      <c r="Q23" s="173"/>
    </row>
    <row r="24">
      <c r="A24" s="144" t="str">
        <f>ID_Valid(E24)</f>
      </c>
      <c r="B24" s="165">
        <v>215</v>
      </c>
      <c r="C24" s="174" t="str">
        <f>IFERROR(INDEX(Logs!$B$2:$B$500,MATCH('Beneficiaries (11)'!$B24,Logs!$A$2:$A$500,0)),"")</f>
        <v>Nomvuyo</v>
      </c>
      <c r="D24" s="166" t="str">
        <f>IFERROR(INDEX(Logs!$C$2:$C$500,MATCH('Beneficiaries (11)'!$B24,Logs!$A$2:$A$500,0)),"")</f>
        <v>Mayikana</v>
      </c>
      <c r="E24" s="167" t="str">
        <f>IFERROR(INDEX(Logs!$D$2:$D$500,MATCH('Beneficiaries (11)'!$B24,Logs!$A$2:$A$500,0)),"")</f>
        <v>8402160390084</v>
      </c>
      <c r="F24" s="168" t="s">
        <v>125</v>
      </c>
      <c r="G24" s="165" t="str">
        <f>TheGender(E24)</f>
        <v>F</v>
      </c>
      <c r="H24" s="165" t="s">
        <v>125</v>
      </c>
      <c r="I24" s="165" t="s">
        <v>126</v>
      </c>
      <c r="J24" s="165" t="str">
        <f>IFERROR(INDEX(Logs!$E$2:$E$500,MATCH('Beneficiaries (11)'!$B24,Logs!$A$2:$A$500,0)),"")</f>
        <v>12/05/2023</v>
      </c>
      <c r="K24" s="165" t="str">
        <f>IFERROR(INDEX(Logs!$F$2:$F$500,MATCH('Beneficiaries (11)'!$B24,Logs!$A$2:$A$500,0)),"")</f>
        <v>30/04/2024</v>
      </c>
      <c r="L24" s="165">
        <f>IFERROR(INDEX(Logs!$G$2:$G$500,MATCH('Beneficiaries (11)'!$B24,Logs!$A$2:$A$500,0)),0)</f>
        <v>17</v>
      </c>
      <c r="M24" s="165">
        <v>0</v>
      </c>
      <c r="N24" s="165">
        <f>L24+M24</f>
        <v>17</v>
      </c>
      <c r="O24" s="171">
        <f>IFERROR(INDEX(Logs!$H$2:$H$500,MATCH('Beneficiaries (11)'!$B24,Logs!$A$2:$A$500,0)),)</f>
        <v>204.16</v>
      </c>
      <c r="P24" s="172">
        <f>IFERROR(N24*O24,0)</f>
        <v>3470.72</v>
      </c>
      <c r="Q24" s="173"/>
    </row>
    <row r="25">
      <c r="A25" s="144" t="str">
        <f>ID_Valid(E25)</f>
      </c>
      <c r="B25" s="165">
        <v>216</v>
      </c>
      <c r="C25" s="170" t="str">
        <f>IFERROR(INDEX(Logs!$B$2:$B$500,MATCH('Beneficiaries (11)'!$B25,Logs!$A$2:$A$500,0)),"")</f>
        <v>Sibusiso</v>
      </c>
      <c r="D25" s="166" t="str">
        <f>IFERROR(INDEX(Logs!$C$2:$C$500,MATCH('Beneficiaries (11)'!$B25,Logs!$A$2:$A$500,0)),"")</f>
        <v>Ngqola</v>
      </c>
      <c r="E25" s="167" t="str">
        <f>IFERROR(INDEX(Logs!$D$2:$D$500,MATCH('Beneficiaries (11)'!$B25,Logs!$A$2:$A$500,0)),"")</f>
        <v>9104236202082</v>
      </c>
      <c r="F25" s="168" t="s">
        <v>125</v>
      </c>
      <c r="G25" s="165" t="str">
        <f>TheGender(E25)</f>
        <v>M</v>
      </c>
      <c r="H25" s="165" t="s">
        <v>125</v>
      </c>
      <c r="I25" s="165" t="s">
        <v>126</v>
      </c>
      <c r="J25" s="165" t="str">
        <f>IFERROR(INDEX(Logs!$E$2:$E$500,MATCH('Beneficiaries (11)'!$B25,Logs!$A$2:$A$500,0)),"")</f>
        <v>12/05/2023</v>
      </c>
      <c r="K25" s="165" t="str">
        <f>IFERROR(INDEX(Logs!$F$2:$F$500,MATCH('Beneficiaries (11)'!$B25,Logs!$A$2:$A$500,0)),"")</f>
        <v>30/04/2024</v>
      </c>
      <c r="L25" s="165">
        <f>IFERROR(INDEX(Logs!$G$2:$G$500,MATCH('Beneficiaries (11)'!$B25,Logs!$A$2:$A$500,0)),0)</f>
        <v>17</v>
      </c>
      <c r="M25" s="165">
        <v>0</v>
      </c>
      <c r="N25" s="165">
        <f>L25+M25</f>
        <v>17</v>
      </c>
      <c r="O25" s="171">
        <f>IFERROR(INDEX(Logs!$H$2:$H$500,MATCH('Beneficiaries (11)'!$B25,Logs!$A$2:$A$500,0)),)</f>
        <v>204.16</v>
      </c>
      <c r="P25" s="172">
        <f>IFERROR(N25*O25,0)</f>
        <v>3470.72</v>
      </c>
      <c r="Q25" s="173"/>
    </row>
    <row r="26">
      <c r="A26" s="144" t="str">
        <f>ID_Valid(E26)</f>
      </c>
      <c r="B26" s="165">
        <v>217</v>
      </c>
      <c r="C26" s="170" t="str">
        <f>IFERROR(INDEX(Logs!$B$2:$B$500,MATCH('Beneficiaries (11)'!$B26,Logs!$A$2:$A$500,0)),"")</f>
        <v>Jan</v>
      </c>
      <c r="D26" s="166" t="str">
        <f>IFERROR(INDEX(Logs!$C$2:$C$500,MATCH('Beneficiaries (11)'!$B26,Logs!$A$2:$A$500,0)),"")</f>
        <v>Coetzee</v>
      </c>
      <c r="E26" s="167" t="str">
        <f>IFERROR(INDEX(Logs!$D$2:$D$500,MATCH('Beneficiaries (11)'!$B26,Logs!$A$2:$A$500,0)),"")</f>
        <v>6610125058081</v>
      </c>
      <c r="F26" s="168" t="s">
        <v>125</v>
      </c>
      <c r="G26" s="165" t="str">
        <f>TheGender(E26)</f>
        <v>M</v>
      </c>
      <c r="H26" s="165" t="s">
        <v>125</v>
      </c>
      <c r="I26" s="165" t="s">
        <v>126</v>
      </c>
      <c r="J26" s="165" t="str">
        <f>IFERROR(INDEX(Logs!$E$2:$E$500,MATCH('Beneficiaries (11)'!$B26,Logs!$A$2:$A$500,0)),"")</f>
        <v>25/05/2023</v>
      </c>
      <c r="K26" s="165" t="str">
        <f>IFERROR(INDEX(Logs!$F$2:$F$500,MATCH('Beneficiaries (11)'!$B26,Logs!$A$2:$A$500,0)),"")</f>
        <v>30/04/2024</v>
      </c>
      <c r="L26" s="165">
        <f>IFERROR(INDEX(Logs!$G$2:$G$500,MATCH('Beneficiaries (11)'!$B26,Logs!$A$2:$A$500,0)),0)</f>
        <v>17</v>
      </c>
      <c r="M26" s="165">
        <v>0</v>
      </c>
      <c r="N26" s="165">
        <f>L26+M26</f>
        <v>17</v>
      </c>
      <c r="O26" s="171">
        <f>IFERROR(INDEX(Logs!$H$2:$H$500,MATCH('Beneficiaries (11)'!$B26,Logs!$A$2:$A$500,0)),)</f>
        <v>204.16</v>
      </c>
      <c r="P26" s="172">
        <f>IFERROR(N26*O26,0)</f>
        <v>3470.72</v>
      </c>
      <c r="Q26" s="173"/>
    </row>
    <row r="27">
      <c r="A27" s="144" t="str">
        <f>ID_Valid(E27)</f>
      </c>
      <c r="B27" s="165">
        <v>218</v>
      </c>
      <c r="C27" s="170" t="str">
        <f>IFERROR(INDEX(Logs!$B$2:$B$500,MATCH('Beneficiaries (11)'!$B27,Logs!$A$2:$A$500,0)),"")</f>
        <v>Hendrik</v>
      </c>
      <c r="D27" s="166" t="str">
        <f>IFERROR(INDEX(Logs!$C$2:$C$500,MATCH('Beneficiaries (11)'!$B27,Logs!$A$2:$A$500,0)),"")</f>
        <v>Vlink</v>
      </c>
      <c r="E27" s="167" t="str">
        <f>IFERROR(INDEX(Logs!$D$2:$D$500,MATCH('Beneficiaries (11)'!$B27,Logs!$A$2:$A$500,0)),"")</f>
        <v>8509206721088</v>
      </c>
      <c r="F27" s="168" t="s">
        <v>125</v>
      </c>
      <c r="G27" s="165" t="str">
        <f>TheGender(E27)</f>
        <v>M</v>
      </c>
      <c r="H27" s="165" t="s">
        <v>125</v>
      </c>
      <c r="I27" s="165" t="s">
        <v>126</v>
      </c>
      <c r="J27" s="165" t="str">
        <f>IFERROR(INDEX(Logs!$E$2:$E$500,MATCH('Beneficiaries (11)'!$B27,Logs!$A$2:$A$500,0)),"")</f>
        <v>25/05/2023</v>
      </c>
      <c r="K27" s="165" t="str">
        <f>IFERROR(INDEX(Logs!$F$2:$F$500,MATCH('Beneficiaries (11)'!$B27,Logs!$A$2:$A$500,0)),"")</f>
        <v>30/04/2024</v>
      </c>
      <c r="L27" s="165">
        <f>IFERROR(INDEX(Logs!$G$2:$G$500,MATCH('Beneficiaries (11)'!$B27,Logs!$A$2:$A$500,0)),0)</f>
        <v>17</v>
      </c>
      <c r="M27" s="165">
        <v>0</v>
      </c>
      <c r="N27" s="165">
        <f>L27+M27</f>
        <v>17</v>
      </c>
      <c r="O27" s="171">
        <f>IFERROR(INDEX(Logs!$H$2:$H$500,MATCH('Beneficiaries (11)'!$B27,Logs!$A$2:$A$500,0)),)</f>
        <v>204.16</v>
      </c>
      <c r="P27" s="172">
        <f>IFERROR(N27*O27,0)</f>
        <v>3470.72</v>
      </c>
      <c r="Q27" s="173"/>
    </row>
    <row r="28">
      <c r="A28" s="144" t="str">
        <f>ID_Valid(E28)</f>
      </c>
      <c r="B28" s="165">
        <v>219</v>
      </c>
      <c r="C28" s="170" t="str">
        <f>IFERROR(INDEX(Logs!$B$2:$B$500,MATCH('Beneficiaries (11)'!$B28,Logs!$A$2:$A$500,0)),"")</f>
        <v>John</v>
      </c>
      <c r="D28" s="166" t="str">
        <f>IFERROR(INDEX(Logs!$C$2:$C$500,MATCH('Beneficiaries (11)'!$B28,Logs!$A$2:$A$500,0)),"")</f>
        <v>Kemp</v>
      </c>
      <c r="E28" s="167" t="str">
        <f>IFERROR(INDEX(Logs!$D$2:$D$500,MATCH('Beneficiaries (11)'!$B28,Logs!$A$2:$A$500,0)),"")</f>
        <v>6709125900084</v>
      </c>
      <c r="F28" s="168" t="s">
        <v>125</v>
      </c>
      <c r="G28" s="165" t="str">
        <f>TheGender(E28)</f>
        <v>M</v>
      </c>
      <c r="H28" s="165" t="s">
        <v>125</v>
      </c>
      <c r="I28" s="165" t="s">
        <v>126</v>
      </c>
      <c r="J28" s="165" t="str">
        <f>IFERROR(INDEX(Logs!$E$2:$E$500,MATCH('Beneficiaries (11)'!$B28,Logs!$A$2:$A$500,0)),"")</f>
        <v>25/05/2023</v>
      </c>
      <c r="K28" s="165" t="str">
        <f>IFERROR(INDEX(Logs!$F$2:$F$500,MATCH('Beneficiaries (11)'!$B28,Logs!$A$2:$A$500,0)),"")</f>
        <v>31/05/2024</v>
      </c>
      <c r="L28" s="165">
        <f>IFERROR(INDEX(Logs!$G$2:$G$500,MATCH('Beneficiaries (11)'!$B28,Logs!$A$2:$A$500,0)),0)</f>
        <v>17</v>
      </c>
      <c r="M28" s="165">
        <v>0</v>
      </c>
      <c r="N28" s="165">
        <f>L28+M28</f>
        <v>17</v>
      </c>
      <c r="O28" s="171">
        <f>IFERROR(INDEX(Logs!$H$2:$H$500,MATCH('Beneficiaries (11)'!$B28,Logs!$A$2:$A$500,0)),)</f>
        <v>204.16</v>
      </c>
      <c r="P28" s="172">
        <f>IFERROR(N28*O28,0)</f>
        <v>3470.72</v>
      </c>
      <c r="Q28" s="173"/>
    </row>
    <row r="29">
      <c r="A29" s="144" t="str">
        <f>ID_Valid(E29)</f>
      </c>
      <c r="B29" s="165">
        <v>220</v>
      </c>
      <c r="C29" s="170" t="str">
        <f>IFERROR(INDEX(Logs!$B$2:$B$500,MATCH('Beneficiaries (11)'!$B29,Logs!$A$2:$A$500,0)),"")</f>
        <v>Lameez</v>
      </c>
      <c r="D29" s="170" t="str">
        <f>IFERROR(INDEX(Logs!$C$2:$C$500,MATCH('Beneficiaries (11)'!$B29,Logs!$A$2:$A$500,0)),"")</f>
        <v>Carolissen</v>
      </c>
      <c r="E29" s="167" t="str">
        <f>IFERROR(INDEX(Logs!$D$2:$D$500,MATCH('Beneficiaries (11)'!$B29,Logs!$A$2:$A$500,0)),"")</f>
        <v>9208270462088</v>
      </c>
      <c r="F29" s="168" t="s">
        <v>125</v>
      </c>
      <c r="G29" s="165" t="str">
        <f>TheGender(E29)</f>
        <v>F</v>
      </c>
      <c r="H29" s="165" t="s">
        <v>125</v>
      </c>
      <c r="I29" s="165" t="s">
        <v>126</v>
      </c>
      <c r="J29" s="165" t="str">
        <f>IFERROR(INDEX(Logs!$E$2:$E$500,MATCH('Beneficiaries (11)'!$B29,Logs!$A$2:$A$500,0)),"")</f>
        <v>25/05/2024</v>
      </c>
      <c r="K29" s="165" t="str">
        <f>IFERROR(INDEX(Logs!$F$2:$F$500,MATCH('Beneficiaries (11)'!$B29,Logs!$A$2:$A$500,0)),"")</f>
        <v>31/05/2024</v>
      </c>
      <c r="L29" s="165">
        <f>IFERROR(INDEX(Logs!$G$2:$G$500,MATCH('Beneficiaries (11)'!$B29,Logs!$A$2:$A$500,0)),0)</f>
        <v>17</v>
      </c>
      <c r="M29" s="165">
        <v>0</v>
      </c>
      <c r="N29" s="165">
        <f>L29+M29</f>
        <v>17</v>
      </c>
      <c r="O29" s="171">
        <f>IFERROR(INDEX(Logs!$H$2:$H$500,MATCH('Beneficiaries (11)'!$B29,Logs!$A$2:$A$500,0)),)</f>
        <v>204.16</v>
      </c>
      <c r="P29" s="172">
        <f>IFERROR(N29*O29,0)</f>
        <v>3470.72</v>
      </c>
      <c r="Q29" s="173"/>
    </row>
    <row r="30">
      <c r="A30" s="144" t="s"/>
      <c r="B30" s="175"/>
      <c r="C30" s="175"/>
      <c r="D30" s="175"/>
      <c r="E30" s="175"/>
      <c r="F30" s="175"/>
      <c r="G30" s="175"/>
      <c r="H30" s="175"/>
      <c r="I30" s="175"/>
      <c r="J30" s="175"/>
      <c r="K30" s="175"/>
      <c r="L30" s="176">
        <f>SUM(L10:L29)</f>
        <v>406</v>
      </c>
      <c r="M30" s="176">
        <f>SUM(M10:M29)</f>
        <v>0</v>
      </c>
      <c r="N30" s="176">
        <f>SUM(N10:N29)</f>
        <v>406</v>
      </c>
      <c r="O30" s="177">
        <f>SUM(O10:O29)</f>
        <v>4097.119999999999</v>
      </c>
      <c r="P30" s="178">
        <f>SUM(P10:P29)</f>
        <v>83195.199999999983</v>
      </c>
      <c r="Q30" s="179"/>
    </row>
    <row r="31" ht="27" customHeight="true">
      <c r="A31" s="144" t="s"/>
      <c r="B31" s="180" t="s">
        <v>127</v>
      </c>
      <c r="C31" s="180"/>
      <c r="D31" s="181" t="s">
        <v>128</v>
      </c>
      <c r="E31" s="153" t="str">
        <f>Project!$G$30</f>
        <v>Benjamin Milandou-Loubeka</v>
      </c>
      <c r="F31" s="153"/>
      <c r="G31" s="153"/>
      <c r="H31" s="153" t="s">
        <v>129</v>
      </c>
      <c r="I31" s="157"/>
      <c r="J31" s="157"/>
      <c r="K31" s="157"/>
      <c r="L31" s="157"/>
      <c r="M31" s="157"/>
      <c r="N31" s="157"/>
      <c r="O31" s="157"/>
      <c r="P31" s="157"/>
      <c r="Q31" s="14"/>
    </row>
    <row r="32" ht="27" customHeight="true">
      <c r="A32" s="144" t="s"/>
      <c r="B32" s="180"/>
      <c r="C32" s="180"/>
      <c r="D32" s="181" t="s">
        <v>130</v>
      </c>
      <c r="E32" s="182">
        <f>Project!$AN$1</f>
        <v>45199</v>
      </c>
      <c r="F32" s="182"/>
      <c r="G32" s="182"/>
      <c r="H32" s="153"/>
      <c r="I32" s="157"/>
      <c r="J32" s="157"/>
      <c r="K32" s="157"/>
      <c r="L32" s="157"/>
      <c r="M32" s="157"/>
      <c r="N32" s="157"/>
      <c r="O32" s="157"/>
      <c r="P32" s="157"/>
      <c r="Q32" s="14"/>
    </row>
    <row r="33" ht="14.25" customHeight="true">
      <c r="A33" s="144" t="s"/>
      <c r="B33" s="158"/>
      <c r="C33" s="158"/>
      <c r="D33" s="183"/>
      <c r="E33" s="14"/>
      <c r="F33" s="14"/>
      <c r="G33" s="14"/>
      <c r="H33" s="148"/>
      <c r="I33" s="14"/>
      <c r="J33" s="14"/>
      <c r="K33" s="14"/>
      <c r="L33" s="14"/>
      <c r="M33" s="14"/>
      <c r="N33" s="14"/>
      <c r="O33" s="14"/>
      <c r="P33" s="14"/>
      <c r="Q33" s="14"/>
    </row>
    <row r="34" ht="27" customHeight="true">
      <c r="A34" s="144" t="s"/>
      <c r="B34" s="180" t="s">
        <v>131</v>
      </c>
      <c r="C34" s="180"/>
      <c r="D34" s="181" t="s">
        <v>128</v>
      </c>
      <c r="E34" s="157"/>
      <c r="F34" s="157"/>
      <c r="G34" s="157"/>
      <c r="H34" s="153" t="s">
        <v>129</v>
      </c>
      <c r="I34" s="157"/>
      <c r="J34" s="157"/>
      <c r="K34" s="157"/>
      <c r="L34" s="157"/>
      <c r="M34" s="157"/>
      <c r="N34" s="157"/>
      <c r="O34" s="157"/>
      <c r="P34" s="157"/>
      <c r="Q34" s="14"/>
    </row>
    <row r="35" ht="27" customHeight="true">
      <c r="A35" s="144" t="s"/>
      <c r="B35" s="180"/>
      <c r="C35" s="180"/>
      <c r="D35" s="181" t="s">
        <v>130</v>
      </c>
      <c r="E35" s="157"/>
      <c r="F35" s="157"/>
      <c r="G35" s="157"/>
      <c r="H35" s="153"/>
      <c r="I35" s="157"/>
      <c r="J35" s="157"/>
      <c r="K35" s="157"/>
      <c r="L35" s="157"/>
      <c r="M35" s="157"/>
      <c r="N35" s="157"/>
      <c r="O35" s="157"/>
      <c r="P35" s="157"/>
      <c r="Q35" s="14"/>
    </row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>
      <c r="A74" s="144" t="s"/>
      <c r="B74" s="14"/>
    </row>
  </sheetData>
  <dataValidations count="1">
    <dataValidation allowBlank="true" showInputMessage="true" showErrorMessage="true" promptTitle="Month" type="" sqref="I6">
      <formula1/>
    </dataValidation>
  </dataValidations>
  <mergeCells count="14">
    <mergeCell ref="B3:P3"/>
    <mergeCell ref="B5:C6"/>
    <mergeCell ref="D5:E6"/>
    <mergeCell ref="K5:M5"/>
    <mergeCell ref="B31:C32"/>
    <mergeCell ref="E31:G31"/>
    <mergeCell ref="H31:H32"/>
    <mergeCell ref="I31:P32"/>
    <mergeCell ref="E32:G32"/>
    <mergeCell ref="B34:C35"/>
    <mergeCell ref="E34:G34"/>
    <mergeCell ref="H34:H35"/>
    <mergeCell ref="I34:P35"/>
    <mergeCell ref="E35:G35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13.xml><?xml version="1.0" encoding="utf-8"?>
<worksheet xmlns="http://schemas.openxmlformats.org/spreadsheetml/2006/main">
  <sheetPr filterMode="false">
    <pageSetUpPr fitToPage="false"/>
  </sheetPr>
  <dimension ref="A1:R74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85546875" defaultRowHeight="12.75"/>
  <cols>
    <col collapsed="false" hidden="false" max="1" min="1" style="144" width="20.7109375" customWidth="true"/>
    <col collapsed="false" hidden="false" max="2" min="2" style="1" width="4.42578125" customWidth="true"/>
    <col collapsed="false" hidden="false" max="5" min="3" style="1" width="24.42578125" customWidth="true"/>
    <col collapsed="false" hidden="false" max="5" min="3" style="1" width="24.42578125" customWidth="true"/>
    <col collapsed="false" hidden="false" max="5" min="3" style="1" width="24.42578125" customWidth="true"/>
    <col collapsed="false" hidden="false" max="6" min="6" style="1" width="10.140625" customWidth="true"/>
    <col collapsed="false" hidden="false" max="9" min="7" style="1" width="8.85546875" customWidth="true"/>
    <col collapsed="false" hidden="false" max="9" min="7" style="1" width="8.85546875" customWidth="true"/>
    <col collapsed="false" hidden="false" max="9" min="7" style="1" width="8.85546875" customWidth="true"/>
    <col collapsed="false" hidden="false" max="11" min="10" style="1" width="10.140625" customWidth="true"/>
    <col collapsed="false" hidden="false" max="11" min="10" style="1" width="10.14062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7" min="16" style="1" width="14.5703125" customWidth="true"/>
    <col collapsed="false" hidden="false" max="17" min="16" style="1" width="14.5703125" customWidth="true"/>
    <col collapsed="false" hidden="false" max="18" min="18" style="145" width="8.85546875" customWidth="true"/>
  </cols>
  <sheetData>
    <row r="1">
      <c r="A1" s="144" t="s"/>
      <c r="B1" s="146" t="s">
        <v>96</v>
      </c>
      <c r="C1" s="2"/>
      <c r="D1" s="2"/>
      <c r="E1" s="147" t="s">
        <v>2</v>
      </c>
      <c r="F1" s="1" t="s"/>
      <c r="G1" s="2"/>
      <c r="H1" s="2"/>
      <c r="I1" s="2"/>
      <c r="J1" s="1" t="s"/>
      <c r="K1" s="1" t="s"/>
      <c r="L1" s="1" t="s"/>
      <c r="M1" s="1" t="s"/>
      <c r="N1" s="1" t="s"/>
      <c r="O1" s="1" t="s"/>
      <c r="P1" s="1" t="s"/>
      <c r="Q1" s="1" t="s"/>
      <c r="R1" s="11">
        <f>IF(Beneficiaries!$P$30&gt;0,1,"")</f>
        <v>1</v>
      </c>
    </row>
    <row r="2">
      <c r="A2" s="144" t="s"/>
      <c r="B2" s="1" t="s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11">
        <f>IF('Beneficiaries (2)'!$P$30&gt;0,1,"")</f>
        <v>1</v>
      </c>
    </row>
    <row r="3">
      <c r="A3" s="144" t="s"/>
      <c r="B3" s="148" t="s">
        <v>97</v>
      </c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1">
        <f>IF('Beneficiaries (3)'!$P$30&gt;0,1,"")</f>
        <v>1</v>
      </c>
    </row>
    <row r="4">
      <c r="A4" s="144" t="s"/>
      <c r="B4" s="1" t="s"/>
      <c r="C4" s="146"/>
      <c r="D4" s="146"/>
      <c r="E4" s="146"/>
      <c r="F4" s="146"/>
      <c r="G4" s="146"/>
      <c r="H4" s="1" t="s"/>
      <c r="I4" s="1" t="s"/>
      <c r="J4" s="1" t="s"/>
      <c r="K4" s="1" t="s"/>
      <c r="L4" s="1" t="s"/>
      <c r="M4" s="1" t="s"/>
      <c r="N4" s="1" t="s"/>
      <c r="O4" s="1" t="s"/>
      <c r="P4" s="1" t="s"/>
      <c r="Q4" s="1" t="s"/>
      <c r="R4" s="11">
        <f>IF('Beneficiaries (4)'!$P$30&gt;0,1,"")</f>
        <v>1</v>
      </c>
    </row>
    <row r="5" ht="12.75" customHeight="true">
      <c r="A5" s="144" t="s"/>
      <c r="B5" s="149" t="s">
        <v>98</v>
      </c>
      <c r="C5" s="150"/>
      <c r="D5" s="151" t="str">
        <f>Project!$Z$25</f>
        <v>WSDS/24/111i</v>
      </c>
      <c r="E5" s="151"/>
      <c r="F5" s="152"/>
      <c r="G5" s="1" t="s"/>
      <c r="H5" s="153" t="s">
        <v>99</v>
      </c>
      <c r="I5" s="153" t="s">
        <v>100</v>
      </c>
      <c r="J5" s="146"/>
      <c r="K5" s="154" t="s">
        <v>101</v>
      </c>
      <c r="L5" s="154"/>
      <c r="M5" s="154"/>
      <c r="N5" s="39"/>
      <c r="O5" s="39"/>
      <c r="P5" s="146"/>
      <c r="Q5" s="146"/>
      <c r="R5" s="11">
        <f>IF('Beneficiaries (5)'!$P$30&gt;0,1,"")</f>
        <v>1</v>
      </c>
    </row>
    <row r="6">
      <c r="A6" s="144" t="s"/>
      <c r="B6" s="155"/>
      <c r="C6" s="156"/>
      <c r="D6" s="151"/>
      <c r="E6" s="151"/>
      <c r="F6" s="152"/>
      <c r="G6" s="1" t="s"/>
      <c r="H6" s="109" t="str">
        <f>TEXT(Project!$AN$1,"YYYY")</f>
        <v>2023</v>
      </c>
      <c r="I6" s="109" t="str">
        <f>TEXT(Project!$AN$1,"MMMM")</f>
        <v>September</v>
      </c>
      <c r="J6" s="7"/>
      <c r="K6" s="157">
        <v>1</v>
      </c>
      <c r="L6" s="154" t="s">
        <v>102</v>
      </c>
      <c r="M6" s="154">
        <f>IF(K6&gt;0,COUNT(R1:R20),"")</f>
        <v>14</v>
      </c>
      <c r="N6" s="39"/>
      <c r="O6" s="39"/>
      <c r="P6" s="14"/>
      <c r="Q6" s="14"/>
      <c r="R6" s="11">
        <f>IF('Beneficiaries (6)'!$P$30&gt;0,1,"")</f>
        <v>1</v>
      </c>
    </row>
    <row r="7">
      <c r="A7" s="144" t="s"/>
      <c r="B7" s="158"/>
      <c r="C7" s="158"/>
      <c r="D7" s="158"/>
      <c r="E7" s="14"/>
      <c r="F7" s="14"/>
      <c r="G7" s="1" t="s"/>
      <c r="H7" s="7"/>
      <c r="I7" s="7"/>
      <c r="J7" s="7"/>
      <c r="K7" s="14"/>
      <c r="L7" s="39"/>
      <c r="M7" s="39"/>
      <c r="N7" s="39"/>
      <c r="O7" s="39"/>
      <c r="P7" s="14"/>
      <c r="Q7" s="14"/>
      <c r="R7" s="11">
        <f>IF('Beneficiaries (7)'!$P$30&gt;0,1,"")</f>
        <v>1</v>
      </c>
    </row>
    <row r="8">
      <c r="A8" s="144" t="s"/>
      <c r="B8" s="159"/>
      <c r="C8" s="160" t="s">
        <v>103</v>
      </c>
      <c r="D8" s="160" t="s">
        <v>103</v>
      </c>
      <c r="E8" s="160" t="s">
        <v>103</v>
      </c>
      <c r="F8" s="160" t="s">
        <v>104</v>
      </c>
      <c r="G8" s="159"/>
      <c r="H8" s="159"/>
      <c r="I8" s="160" t="s">
        <v>105</v>
      </c>
      <c r="J8" s="159"/>
      <c r="K8" s="160" t="s">
        <v>106</v>
      </c>
      <c r="L8" s="160" t="s">
        <v>107</v>
      </c>
      <c r="M8" s="160" t="s">
        <v>108</v>
      </c>
      <c r="N8" s="160"/>
      <c r="O8" s="160" t="s">
        <v>109</v>
      </c>
      <c r="P8" s="160"/>
      <c r="Q8" s="161"/>
      <c r="R8" s="11">
        <f>IF('Beneficiaries (8)'!$P$30&gt;0,1,"")</f>
        <v>1</v>
      </c>
    </row>
    <row r="9">
      <c r="A9" s="144" t="s"/>
      <c r="B9" s="162" t="s">
        <v>110</v>
      </c>
      <c r="C9" s="162" t="s">
        <v>111</v>
      </c>
      <c r="D9" s="162" t="s">
        <v>112</v>
      </c>
      <c r="E9" s="162" t="s">
        <v>113</v>
      </c>
      <c r="F9" s="163" t="s">
        <v>114</v>
      </c>
      <c r="G9" s="163" t="s">
        <v>115</v>
      </c>
      <c r="H9" s="163" t="s">
        <v>116</v>
      </c>
      <c r="I9" s="163" t="s">
        <v>117</v>
      </c>
      <c r="J9" s="163" t="s">
        <v>118</v>
      </c>
      <c r="K9" s="163" t="s">
        <v>119</v>
      </c>
      <c r="L9" s="163" t="s">
        <v>120</v>
      </c>
      <c r="M9" s="163" t="s">
        <v>121</v>
      </c>
      <c r="N9" s="163" t="s">
        <v>122</v>
      </c>
      <c r="O9" s="163" t="s">
        <v>123</v>
      </c>
      <c r="P9" s="163" t="s">
        <v>124</v>
      </c>
      <c r="Q9" s="164"/>
      <c r="R9" s="11">
        <f>IF('Beneficiaries (9)'!$P$30&gt;0,1,"")</f>
        <v>1</v>
      </c>
    </row>
    <row r="10">
      <c r="A10" s="144" t="str">
        <f>ID_Valid(E10)</f>
      </c>
      <c r="B10" s="165">
        <v>221</v>
      </c>
      <c r="C10" s="166" t="str">
        <f>IFERROR(INDEX(Logs!$B$2:$B$500,MATCH('Beneficiaries (12)'!$B10,Logs!$A$2:$A$500,0)),"")</f>
        <v>Mmpule</v>
      </c>
      <c r="D10" s="166" t="str">
        <f>IFERROR(INDEX(Logs!$C$2:$C$500,MATCH('Beneficiaries (12)'!$B10,Logs!$A$2:$A$500,0)),"")</f>
        <v>Mashale</v>
      </c>
      <c r="E10" s="167" t="str">
        <f>IFERROR(INDEX(Logs!$D$2:$D$500,MATCH('Beneficiaries (12)'!$B10,Logs!$A$2:$A$500,0)),"")</f>
        <v>8504290819088</v>
      </c>
      <c r="F10" s="168" t="s">
        <v>125</v>
      </c>
      <c r="G10" s="165" t="str">
        <f>TheGender(E10)</f>
        <v>F</v>
      </c>
      <c r="H10" s="165" t="s">
        <v>125</v>
      </c>
      <c r="I10" s="169" t="s">
        <v>126</v>
      </c>
      <c r="J10" s="170" t="str">
        <f>IFERROR(INDEX(Logs!$E$2:$E$500,MATCH('Beneficiaries (12)'!$B10,Logs!$A$2:$A$500,0)),"")</f>
        <v>01/06/2023</v>
      </c>
      <c r="K10" s="170" t="str">
        <f>IFERROR(INDEX(Logs!$F$2:$F$500,MATCH('Beneficiaries (12)'!$B10,Logs!$A$2:$A$500,0)),"")</f>
        <v>31/05/2024</v>
      </c>
      <c r="L10" s="165">
        <f>IFERROR(INDEX(Logs!$G$2:$G$500,MATCH('Beneficiaries (12)'!$B10,Logs!$A$2:$A$500,0)),0)</f>
        <v>17</v>
      </c>
      <c r="M10" s="165">
        <v>0</v>
      </c>
      <c r="N10" s="165">
        <f>M10+L10</f>
        <v>17</v>
      </c>
      <c r="O10" s="171">
        <f>IFERROR(INDEX(Logs!$H$2:$H$500,MATCH('Beneficiaries (12)'!$B10,Logs!$A$2:$A$500,0)),)</f>
        <v>204.16</v>
      </c>
      <c r="P10" s="172">
        <f>IFERROR(N10*O10,0)</f>
        <v>3470.72</v>
      </c>
      <c r="Q10" s="173"/>
      <c r="R10" s="11">
        <f>IF('Beneficiaries (10)'!$P$30&gt;0,1,"")</f>
        <v>1</v>
      </c>
    </row>
    <row r="11">
      <c r="A11" s="144" t="str">
        <f>ID_Valid(E11)</f>
        <v>INVALID ID - Length</v>
      </c>
      <c r="B11" s="165">
        <v>222</v>
      </c>
      <c r="C11" s="166" t="str">
        <f>IFERROR(INDEX(Logs!$B$2:$B$500,MATCH('Beneficiaries (12)'!$B11,Logs!$A$2:$A$500,0)),"")</f>
        <v>Denise</v>
      </c>
      <c r="D11" s="166" t="str">
        <f>IFERROR(INDEX(Logs!$C$2:$C$500,MATCH('Beneficiaries (12)'!$B11,Logs!$A$2:$A$500,0)),"")</f>
        <v>Johannes</v>
      </c>
      <c r="E11" s="167" t="str">
        <f>IFERROR(INDEX(Logs!$D$2:$D$500,MATCH('Beneficiaries (12)'!$B11,Logs!$A$2:$A$500,0)),"")</f>
        <v>840213039082</v>
      </c>
      <c r="F11" s="168" t="s">
        <v>125</v>
      </c>
      <c r="G11" s="165" t="str">
        <f>TheGender(E11)</f>
      </c>
      <c r="H11" s="165" t="s">
        <v>125</v>
      </c>
      <c r="I11" s="165" t="s">
        <v>126</v>
      </c>
      <c r="J11" s="165" t="str">
        <f>IFERROR(INDEX(Logs!$E$2:$E$500,MATCH('Beneficiaries (12)'!$B11,Logs!$A$2:$A$500,0)),"")</f>
        <v>01/06/2023</v>
      </c>
      <c r="K11" s="165" t="str">
        <f>IFERROR(INDEX(Logs!$F$2:$F$500,MATCH('Beneficiaries (12)'!$B11,Logs!$A$2:$A$500,0)),"")</f>
        <v>31/05/2024</v>
      </c>
      <c r="L11" s="165">
        <f>IFERROR(INDEX(Logs!$G$2:$G$500,MATCH('Beneficiaries (12)'!$B11,Logs!$A$2:$A$500,0)),0)</f>
        <v>17</v>
      </c>
      <c r="M11" s="165">
        <v>0</v>
      </c>
      <c r="N11" s="165">
        <f>L11+M11</f>
        <v>17</v>
      </c>
      <c r="O11" s="171">
        <f>IFERROR(INDEX(Logs!$H$2:$H$500,MATCH('Beneficiaries (12)'!$B11,Logs!$A$2:$A$500,0)),)</f>
        <v>204.16</v>
      </c>
      <c r="P11" s="172">
        <f>IFERROR(N11*O11,0)</f>
        <v>3470.72</v>
      </c>
      <c r="Q11" s="173"/>
      <c r="R11" s="11">
        <f>IF('Beneficiaries (11)'!$P$30&gt;0,1,"")</f>
        <v>1</v>
      </c>
    </row>
    <row r="12">
      <c r="A12" s="144" t="str">
        <f>ID_Valid(E12)</f>
      </c>
      <c r="B12" s="165">
        <v>223</v>
      </c>
      <c r="C12" s="166" t="str">
        <f>IFERROR(INDEX(Logs!$B$2:$B$500,MATCH('Beneficiaries (12)'!$B12,Logs!$A$2:$A$500,0)),"")</f>
        <v>Yoliswa</v>
      </c>
      <c r="D12" s="166" t="str">
        <f>IFERROR(INDEX(Logs!$C$2:$C$500,MATCH('Beneficiaries (12)'!$B12,Logs!$A$2:$A$500,0)),"")</f>
        <v>Phithi</v>
      </c>
      <c r="E12" s="167" t="str">
        <f>IFERROR(INDEX(Logs!$D$2:$D$500,MATCH('Beneficiaries (12)'!$B12,Logs!$A$2:$A$500,0)),"")</f>
        <v>7706250542086</v>
      </c>
      <c r="F12" s="168" t="s">
        <v>125</v>
      </c>
      <c r="G12" s="165" t="str">
        <f>TheGender(E12)</f>
        <v>F</v>
      </c>
      <c r="H12" s="165" t="s">
        <v>125</v>
      </c>
      <c r="I12" s="165" t="s">
        <v>126</v>
      </c>
      <c r="J12" s="165" t="str">
        <f>IFERROR(INDEX(Logs!$E$2:$E$500,MATCH('Beneficiaries (12)'!$B12,Logs!$A$2:$A$500,0)),"")</f>
        <v>01/07/2023</v>
      </c>
      <c r="K12" s="165" t="str">
        <f>IFERROR(INDEX(Logs!$F$2:$F$500,MATCH('Beneficiaries (12)'!$B12,Logs!$A$2:$A$500,0)),"")</f>
        <v>30/06/2024</v>
      </c>
      <c r="L12" s="165">
        <f>IFERROR(INDEX(Logs!$G$2:$G$500,MATCH('Beneficiaries (12)'!$B12,Logs!$A$2:$A$500,0)),0)</f>
        <v>17</v>
      </c>
      <c r="M12" s="165">
        <v>0</v>
      </c>
      <c r="N12" s="165">
        <f>L12+M12</f>
        <v>17</v>
      </c>
      <c r="O12" s="171">
        <f>IFERROR(INDEX(Logs!$H$2:$H$500,MATCH('Beneficiaries (12)'!$B12,Logs!$A$2:$A$500,0)),)</f>
        <v>204.16</v>
      </c>
      <c r="P12" s="172">
        <f>IFERROR(N12*O12,0)</f>
        <v>3470.72</v>
      </c>
      <c r="Q12" s="173"/>
      <c r="R12" s="11">
        <f>IF('Beneficiaries (12)'!$P$30&gt;0,1,"")</f>
        <v>1</v>
      </c>
    </row>
    <row r="13">
      <c r="A13" s="144" t="str">
        <f>ID_Valid(E13)</f>
      </c>
      <c r="B13" s="165">
        <v>224</v>
      </c>
      <c r="C13" s="166" t="str">
        <f>IFERROR(INDEX(Logs!$B$2:$B$500,MATCH('Beneficiaries (12)'!$B13,Logs!$A$2:$A$500,0)),"")</f>
        <v>Xoliswa</v>
      </c>
      <c r="D13" s="166" t="str">
        <f>IFERROR(INDEX(Logs!$C$2:$C$500,MATCH('Beneficiaries (12)'!$B13,Logs!$A$2:$A$500,0)),"")</f>
        <v>Duba-Sipeliti</v>
      </c>
      <c r="E13" s="167" t="str">
        <f>IFERROR(INDEX(Logs!$D$2:$D$500,MATCH('Beneficiaries (12)'!$B13,Logs!$A$2:$A$500,0)),"")</f>
        <v>7310102609084</v>
      </c>
      <c r="F13" s="168" t="s">
        <v>125</v>
      </c>
      <c r="G13" s="165" t="str">
        <f>TheGender(E13)</f>
        <v>F</v>
      </c>
      <c r="H13" s="165" t="s">
        <v>125</v>
      </c>
      <c r="I13" s="165" t="s">
        <v>126</v>
      </c>
      <c r="J13" s="165" t="str">
        <f>IFERROR(INDEX(Logs!$E$2:$E$500,MATCH('Beneficiaries (12)'!$B13,Logs!$A$2:$A$500,0)),"")</f>
        <v>01/07/2023</v>
      </c>
      <c r="K13" s="165" t="str">
        <f>IFERROR(INDEX(Logs!$F$2:$F$500,MATCH('Beneficiaries (12)'!$B13,Logs!$A$2:$A$500,0)),"")</f>
        <v>30/06/2024</v>
      </c>
      <c r="L13" s="165">
        <f>IFERROR(INDEX(Logs!$G$2:$G$500,MATCH('Beneficiaries (12)'!$B13,Logs!$A$2:$A$500,0)),0)</f>
        <v>17</v>
      </c>
      <c r="M13" s="165">
        <v>0</v>
      </c>
      <c r="N13" s="165">
        <f>L13+M13</f>
        <v>17</v>
      </c>
      <c r="O13" s="171">
        <f>IFERROR(INDEX(Logs!$H$2:$H$500,MATCH('Beneficiaries (12)'!$B13,Logs!$A$2:$A$500,0)),)</f>
        <v>204.16</v>
      </c>
      <c r="P13" s="172">
        <f>IFERROR(N13*O13,0)</f>
        <v>3470.72</v>
      </c>
      <c r="Q13" s="173"/>
      <c r="R13" s="11">
        <f>IF('Beneficiaries (13)'!$P$30&gt;0,1,"")</f>
        <v>1</v>
      </c>
    </row>
    <row r="14">
      <c r="A14" s="144" t="str">
        <f>ID_Valid(E14)</f>
      </c>
      <c r="B14" s="165">
        <v>225</v>
      </c>
      <c r="C14" s="166" t="str">
        <f>IFERROR(INDEX(Logs!$B$2:$B$500,MATCH('Beneficiaries (12)'!$B14,Logs!$A$2:$A$500,0)),"")</f>
        <v>Nowongile</v>
      </c>
      <c r="D14" s="166" t="str">
        <f>IFERROR(INDEX(Logs!$C$2:$C$500,MATCH('Beneficiaries (12)'!$B14,Logs!$A$2:$A$500,0)),"")</f>
        <v>Yako</v>
      </c>
      <c r="E14" s="167" t="str">
        <f>IFERROR(INDEX(Logs!$D$2:$D$500,MATCH('Beneficiaries (12)'!$B14,Logs!$A$2:$A$500,0)),"")</f>
        <v>7107060898083</v>
      </c>
      <c r="F14" s="168" t="s">
        <v>125</v>
      </c>
      <c r="G14" s="165" t="str">
        <f>TheGender(E14)</f>
        <v>F</v>
      </c>
      <c r="H14" s="165" t="s">
        <v>125</v>
      </c>
      <c r="I14" s="165" t="s">
        <v>126</v>
      </c>
      <c r="J14" s="165" t="str">
        <f>IFERROR(INDEX(Logs!$E$2:$E$500,MATCH('Beneficiaries (12)'!$B14,Logs!$A$2:$A$500,0)),"")</f>
        <v>01/07/2023</v>
      </c>
      <c r="K14" s="165" t="str">
        <f>IFERROR(INDEX(Logs!$F$2:$F$500,MATCH('Beneficiaries (12)'!$B14,Logs!$A$2:$A$500,0)),"")</f>
        <v>30/06/2024</v>
      </c>
      <c r="L14" s="165">
        <f>IFERROR(INDEX(Logs!$G$2:$G$500,MATCH('Beneficiaries (12)'!$B14,Logs!$A$2:$A$500,0)),0)</f>
        <v>17</v>
      </c>
      <c r="M14" s="165">
        <v>0</v>
      </c>
      <c r="N14" s="165">
        <f>L14+M14</f>
        <v>17</v>
      </c>
      <c r="O14" s="171">
        <f>IFERROR(INDEX(Logs!$H$2:$H$500,MATCH('Beneficiaries (12)'!$B14,Logs!$A$2:$A$500,0)),)</f>
        <v>204.16</v>
      </c>
      <c r="P14" s="172">
        <f>IFERROR(N14*O14,0)</f>
        <v>3470.72</v>
      </c>
      <c r="Q14" s="173"/>
      <c r="R14" s="11">
        <f>IF('Beneficiaries (14)'!$P$30&gt;0,1,"")</f>
        <v>1</v>
      </c>
    </row>
    <row r="15">
      <c r="A15" s="144" t="str">
        <f>ID_Valid(E15)</f>
      </c>
      <c r="B15" s="165">
        <v>226</v>
      </c>
      <c r="C15" s="166" t="str">
        <f>IFERROR(INDEX(Logs!$B$2:$B$500,MATCH('Beneficiaries (12)'!$B15,Logs!$A$2:$A$500,0)),"")</f>
        <v>Unathi</v>
      </c>
      <c r="D15" s="166" t="str">
        <f>IFERROR(INDEX(Logs!$C$2:$C$500,MATCH('Beneficiaries (12)'!$B15,Logs!$A$2:$A$500,0)),"")</f>
        <v>Mangisa</v>
      </c>
      <c r="E15" s="167" t="str">
        <f>IFERROR(INDEX(Logs!$D$2:$D$500,MATCH('Beneficiaries (12)'!$B15,Logs!$A$2:$A$500,0)),"")</f>
        <v>0306130761084</v>
      </c>
      <c r="F15" s="168" t="s">
        <v>125</v>
      </c>
      <c r="G15" s="165" t="str">
        <f>TheGender(E15)</f>
        <v>F</v>
      </c>
      <c r="H15" s="165" t="s">
        <v>125</v>
      </c>
      <c r="I15" s="165" t="s">
        <v>126</v>
      </c>
      <c r="J15" s="165" t="str">
        <f>IFERROR(INDEX(Logs!$E$2:$E$500,MATCH('Beneficiaries (12)'!$B15,Logs!$A$2:$A$500,0)),"")</f>
        <v>01/07/2023</v>
      </c>
      <c r="K15" s="165" t="str">
        <f>IFERROR(INDEX(Logs!$F$2:$F$500,MATCH('Beneficiaries (12)'!$B15,Logs!$A$2:$A$500,0)),"")</f>
        <v>30/06/2024</v>
      </c>
      <c r="L15" s="165">
        <f>IFERROR(INDEX(Logs!$G$2:$G$500,MATCH('Beneficiaries (12)'!$B15,Logs!$A$2:$A$500,0)),0)</f>
        <v>22</v>
      </c>
      <c r="M15" s="165">
        <v>0</v>
      </c>
      <c r="N15" s="165">
        <f>L15+M15</f>
        <v>22</v>
      </c>
      <c r="O15" s="171">
        <f>IFERROR(INDEX(Logs!$H$2:$H$500,MATCH('Beneficiaries (12)'!$B15,Logs!$A$2:$A$500,0)),)</f>
        <v>204.16</v>
      </c>
      <c r="P15" s="172">
        <f>IFERROR(N15*O15,0)</f>
        <v>4491.5199999999995</v>
      </c>
      <c r="Q15" s="173"/>
      <c r="R15" s="11"/>
    </row>
    <row r="16">
      <c r="A16" s="144" t="str">
        <f>ID_Valid(E16)</f>
      </c>
      <c r="B16" s="165">
        <v>227</v>
      </c>
      <c r="C16" s="166" t="str">
        <f>IFERROR(INDEX(Logs!$B$2:$B$500,MATCH('Beneficiaries (12)'!$B16,Logs!$A$2:$A$500,0)),"")</f>
        <v>Pamela</v>
      </c>
      <c r="D16" s="166" t="str">
        <f>IFERROR(INDEX(Logs!$C$2:$C$500,MATCH('Beneficiaries (12)'!$B16,Logs!$A$2:$A$500,0)),"")</f>
        <v>Twasile</v>
      </c>
      <c r="E16" s="167" t="str">
        <f>IFERROR(INDEX(Logs!$D$2:$D$500,MATCH('Beneficiaries (12)'!$B16,Logs!$A$2:$A$500,0)),"")</f>
        <v>8401011225085</v>
      </c>
      <c r="F16" s="168" t="s">
        <v>125</v>
      </c>
      <c r="G16" s="165" t="str">
        <f>TheGender(E16)</f>
        <v>F</v>
      </c>
      <c r="H16" s="165" t="s">
        <v>125</v>
      </c>
      <c r="I16" s="165" t="s">
        <v>126</v>
      </c>
      <c r="J16" s="165" t="str">
        <f>IFERROR(INDEX(Logs!$E$2:$E$500,MATCH('Beneficiaries (12)'!$B16,Logs!$A$2:$A$500,0)),"")</f>
        <v>01/07/2023</v>
      </c>
      <c r="K16" s="165" t="str">
        <f>IFERROR(INDEX(Logs!$F$2:$F$500,MATCH('Beneficiaries (12)'!$B16,Logs!$A$2:$A$500,0)),"")</f>
        <v>30/06/2024</v>
      </c>
      <c r="L16" s="165">
        <f>IFERROR(INDEX(Logs!$G$2:$G$500,MATCH('Beneficiaries (12)'!$B16,Logs!$A$2:$A$500,0)),0)</f>
        <v>22</v>
      </c>
      <c r="M16" s="165">
        <v>0</v>
      </c>
      <c r="N16" s="165">
        <f>L16+M16</f>
        <v>22</v>
      </c>
      <c r="O16" s="171">
        <f>IFERROR(INDEX(Logs!$H$2:$H$500,MATCH('Beneficiaries (12)'!$B16,Logs!$A$2:$A$500,0)),)</f>
        <v>204.16</v>
      </c>
      <c r="P16" s="172">
        <f>IFERROR(N16*O16,0)</f>
        <v>4491.5199999999995</v>
      </c>
      <c r="Q16" s="173"/>
      <c r="R16" s="11"/>
    </row>
    <row r="17">
      <c r="A17" s="144" t="str">
        <f>ID_Valid(E17)</f>
      </c>
      <c r="B17" s="165">
        <v>228</v>
      </c>
      <c r="C17" s="166" t="str">
        <f>IFERROR(INDEX(Logs!$B$2:$B$500,MATCH('Beneficiaries (12)'!$B17,Logs!$A$2:$A$500,0)),"")</f>
        <v>Matthew</v>
      </c>
      <c r="D17" s="166" t="str">
        <f>IFERROR(INDEX(Logs!$C$2:$C$500,MATCH('Beneficiaries (12)'!$B17,Logs!$A$2:$A$500,0)),"")</f>
        <v>Grace</v>
      </c>
      <c r="E17" s="167" t="str">
        <f>IFERROR(INDEX(Logs!$D$2:$D$500,MATCH('Beneficiaries (12)'!$B17,Logs!$A$2:$A$500,0)),"")</f>
        <v>7708235127082</v>
      </c>
      <c r="F17" s="168" t="s">
        <v>125</v>
      </c>
      <c r="G17" s="165" t="str">
        <f>TheGender(E17)</f>
        <v>M</v>
      </c>
      <c r="H17" s="165" t="s">
        <v>125</v>
      </c>
      <c r="I17" s="165" t="s">
        <v>126</v>
      </c>
      <c r="J17" s="165" t="str">
        <f>IFERROR(INDEX(Logs!$E$2:$E$500,MATCH('Beneficiaries (12)'!$B17,Logs!$A$2:$A$500,0)),"")</f>
        <v>01/07/2023</v>
      </c>
      <c r="K17" s="165" t="str">
        <f>IFERROR(INDEX(Logs!$F$2:$F$500,MATCH('Beneficiaries (12)'!$B17,Logs!$A$2:$A$500,0)),"")</f>
        <v>30/06/2024</v>
      </c>
      <c r="L17" s="165">
        <f>IFERROR(INDEX(Logs!$G$2:$G$500,MATCH('Beneficiaries (12)'!$B17,Logs!$A$2:$A$500,0)),0)</f>
        <v>17</v>
      </c>
      <c r="M17" s="165">
        <v>0</v>
      </c>
      <c r="N17" s="165">
        <f>L17+M17</f>
        <v>17</v>
      </c>
      <c r="O17" s="171">
        <f>IFERROR(INDEX(Logs!$H$2:$H$500,MATCH('Beneficiaries (12)'!$B17,Logs!$A$2:$A$500,0)),)</f>
        <v>204.16</v>
      </c>
      <c r="P17" s="172">
        <f>IFERROR(N17*O17,0)</f>
        <v>3470.72</v>
      </c>
      <c r="Q17" s="173"/>
      <c r="R17" s="11"/>
    </row>
    <row r="18">
      <c r="A18" s="144" t="str">
        <f>ID_Valid(E18)</f>
      </c>
      <c r="B18" s="165">
        <v>229</v>
      </c>
      <c r="C18" s="166" t="str">
        <f>IFERROR(INDEX(Logs!$B$2:$B$500,MATCH('Beneficiaries (12)'!$B18,Logs!$A$2:$A$500,0)),"")</f>
        <v>Lindelwa</v>
      </c>
      <c r="D18" s="166" t="str">
        <f>IFERROR(INDEX(Logs!$C$2:$C$500,MATCH('Beneficiaries (12)'!$B18,Logs!$A$2:$A$500,0)),"")</f>
        <v>Shiba</v>
      </c>
      <c r="E18" s="167" t="str">
        <f>IFERROR(INDEX(Logs!$D$2:$D$500,MATCH('Beneficiaries (12)'!$B18,Logs!$A$2:$A$500,0)),"")</f>
        <v>8011180556085</v>
      </c>
      <c r="F18" s="168" t="s">
        <v>125</v>
      </c>
      <c r="G18" s="165" t="str">
        <f>TheGender(E18)</f>
        <v>F</v>
      </c>
      <c r="H18" s="165" t="s">
        <v>125</v>
      </c>
      <c r="I18" s="165" t="s">
        <v>126</v>
      </c>
      <c r="J18" s="165" t="str">
        <f>IFERROR(INDEX(Logs!$E$2:$E$500,MATCH('Beneficiaries (12)'!$B18,Logs!$A$2:$A$500,0)),"")</f>
        <v>01/07/2023</v>
      </c>
      <c r="K18" s="165" t="str">
        <f>IFERROR(INDEX(Logs!$F$2:$F$500,MATCH('Beneficiaries (12)'!$B18,Logs!$A$2:$A$500,0)),"")</f>
        <v>30/06/2024</v>
      </c>
      <c r="L18" s="165">
        <f>IFERROR(INDEX(Logs!$G$2:$G$500,MATCH('Beneficiaries (12)'!$B18,Logs!$A$2:$A$500,0)),0)</f>
        <v>22</v>
      </c>
      <c r="M18" s="165">
        <v>0</v>
      </c>
      <c r="N18" s="165">
        <f>L18+M18</f>
        <v>22</v>
      </c>
      <c r="O18" s="171">
        <f>IFERROR(INDEX(Logs!$H$2:$H$500,MATCH('Beneficiaries (12)'!$B18,Logs!$A$2:$A$500,0)),)</f>
        <v>204.16</v>
      </c>
      <c r="P18" s="172">
        <f>IFERROR(N18*O18,0)</f>
        <v>4491.5199999999995</v>
      </c>
      <c r="Q18" s="173"/>
      <c r="R18" s="11"/>
    </row>
    <row r="19">
      <c r="A19" s="144" t="str">
        <f>ID_Valid(E19)</f>
      </c>
      <c r="B19" s="165">
        <v>230</v>
      </c>
      <c r="C19" s="166" t="str">
        <f>IFERROR(INDEX(Logs!$B$2:$B$500,MATCH('Beneficiaries (12)'!$B19,Logs!$A$2:$A$500,0)),"")</f>
        <v>Neliswa</v>
      </c>
      <c r="D19" s="166" t="str">
        <f>IFERROR(INDEX(Logs!$C$2:$C$500,MATCH('Beneficiaries (12)'!$B19,Logs!$A$2:$A$500,0)),"")</f>
        <v>Sokhetye</v>
      </c>
      <c r="E19" s="167" t="str">
        <f>IFERROR(INDEX(Logs!$D$2:$D$500,MATCH('Beneficiaries (12)'!$B19,Logs!$A$2:$A$500,0)),"")</f>
        <v>9110011348081</v>
      </c>
      <c r="F19" s="168" t="s">
        <v>125</v>
      </c>
      <c r="G19" s="165" t="str">
        <f>TheGender(E19)</f>
        <v>F</v>
      </c>
      <c r="H19" s="165" t="s">
        <v>125</v>
      </c>
      <c r="I19" s="165" t="s">
        <v>126</v>
      </c>
      <c r="J19" s="165" t="str">
        <f>IFERROR(INDEX(Logs!$E$2:$E$500,MATCH('Beneficiaries (12)'!$B19,Logs!$A$2:$A$500,0)),"")</f>
        <v>01/07/2023</v>
      </c>
      <c r="K19" s="165" t="str">
        <f>IFERROR(INDEX(Logs!$F$2:$F$500,MATCH('Beneficiaries (12)'!$B19,Logs!$A$2:$A$500,0)),"")</f>
        <v>30/06/2024</v>
      </c>
      <c r="L19" s="165">
        <f>IFERROR(INDEX(Logs!$G$2:$G$500,MATCH('Beneficiaries (12)'!$B19,Logs!$A$2:$A$500,0)),0)</f>
        <v>22</v>
      </c>
      <c r="M19" s="165">
        <v>0</v>
      </c>
      <c r="N19" s="165">
        <f>L19+M19</f>
        <v>22</v>
      </c>
      <c r="O19" s="171">
        <f>IFERROR(INDEX(Logs!$H$2:$H$500,MATCH('Beneficiaries (12)'!$B19,Logs!$A$2:$A$500,0)),)</f>
        <v>204.16</v>
      </c>
      <c r="P19" s="172">
        <f>IFERROR(N19*O19,0)</f>
        <v>4491.5199999999995</v>
      </c>
      <c r="Q19" s="173"/>
      <c r="R19" s="11"/>
    </row>
    <row r="20">
      <c r="A20" s="144" t="str">
        <f>ID_Valid(E20)</f>
      </c>
      <c r="B20" s="165">
        <v>231</v>
      </c>
      <c r="C20" s="166" t="str">
        <f>IFERROR(INDEX(Logs!$B$2:$B$500,MATCH('Beneficiaries (12)'!$B20,Logs!$A$2:$A$500,0)),"")</f>
        <v>Olwethu</v>
      </c>
      <c r="D20" s="166" t="str">
        <f>IFERROR(INDEX(Logs!$C$2:$C$500,MATCH('Beneficiaries (12)'!$B20,Logs!$A$2:$A$500,0)),"")</f>
        <v>Ngxata</v>
      </c>
      <c r="E20" s="167" t="str">
        <f>IFERROR(INDEX(Logs!$D$2:$D$500,MATCH('Beneficiaries (12)'!$B20,Logs!$A$2:$A$500,0)),"")</f>
        <v>9111170987081</v>
      </c>
      <c r="F20" s="168" t="s">
        <v>125</v>
      </c>
      <c r="G20" s="165" t="str">
        <f>TheGender(E20)</f>
        <v>F</v>
      </c>
      <c r="H20" s="165" t="s">
        <v>125</v>
      </c>
      <c r="I20" s="165" t="s">
        <v>126</v>
      </c>
      <c r="J20" s="165" t="str">
        <f>IFERROR(INDEX(Logs!$E$2:$E$500,MATCH('Beneficiaries (12)'!$B20,Logs!$A$2:$A$500,0)),"")</f>
        <v>01/07/2023</v>
      </c>
      <c r="K20" s="165" t="str">
        <f>IFERROR(INDEX(Logs!$F$2:$F$500,MATCH('Beneficiaries (12)'!$B20,Logs!$A$2:$A$500,0)),"")</f>
        <v>30/06/2024</v>
      </c>
      <c r="L20" s="165">
        <f>IFERROR(INDEX(Logs!$G$2:$G$500,MATCH('Beneficiaries (12)'!$B20,Logs!$A$2:$A$500,0)),0)</f>
        <v>22</v>
      </c>
      <c r="M20" s="165">
        <v>0</v>
      </c>
      <c r="N20" s="165">
        <f>L20+M20</f>
        <v>22</v>
      </c>
      <c r="O20" s="171">
        <f>IFERROR(INDEX(Logs!$H$2:$H$500,MATCH('Beneficiaries (12)'!$B20,Logs!$A$2:$A$500,0)),)</f>
        <v>204.16</v>
      </c>
      <c r="P20" s="172">
        <f>IFERROR(N20*O20,0)</f>
        <v>4491.5199999999995</v>
      </c>
      <c r="Q20" s="173"/>
      <c r="R20" s="145" t="s"/>
    </row>
    <row r="21">
      <c r="A21" s="144" t="str">
        <f>ID_Valid(E21)</f>
      </c>
      <c r="B21" s="165">
        <v>232</v>
      </c>
      <c r="C21" s="166" t="str">
        <f>IFERROR(INDEX(Logs!$B$2:$B$500,MATCH('Beneficiaries (12)'!$B21,Logs!$A$2:$A$500,0)),"")</f>
        <v>Candice</v>
      </c>
      <c r="D21" s="166" t="str">
        <f>IFERROR(INDEX(Logs!$C$2:$C$500,MATCH('Beneficiaries (12)'!$B21,Logs!$A$2:$A$500,0)),"")</f>
        <v>Baker</v>
      </c>
      <c r="E21" s="167" t="str">
        <f>IFERROR(INDEX(Logs!$D$2:$D$500,MATCH('Beneficiaries (12)'!$B21,Logs!$A$2:$A$500,0)),"")</f>
        <v>8812301020087</v>
      </c>
      <c r="F21" s="168" t="s">
        <v>125</v>
      </c>
      <c r="G21" s="165" t="str">
        <f>TheGender(E21)</f>
        <v>F</v>
      </c>
      <c r="H21" s="165" t="s">
        <v>125</v>
      </c>
      <c r="I21" s="165" t="s">
        <v>126</v>
      </c>
      <c r="J21" s="165" t="str">
        <f>IFERROR(INDEX(Logs!$E$2:$E$500,MATCH('Beneficiaries (12)'!$B21,Logs!$A$2:$A$500,0)),"")</f>
        <v>01/07/2023</v>
      </c>
      <c r="K21" s="165" t="str">
        <f>IFERROR(INDEX(Logs!$F$2:$F$500,MATCH('Beneficiaries (12)'!$B21,Logs!$A$2:$A$500,0)),"")</f>
        <v>30/06/2024</v>
      </c>
      <c r="L21" s="165">
        <f>IFERROR(INDEX(Logs!$G$2:$G$500,MATCH('Beneficiaries (12)'!$B21,Logs!$A$2:$A$500,0)),0)</f>
        <v>22</v>
      </c>
      <c r="M21" s="165">
        <v>0</v>
      </c>
      <c r="N21" s="165">
        <f>L21+M21</f>
        <v>22</v>
      </c>
      <c r="O21" s="171">
        <f>IFERROR(INDEX(Logs!$H$2:$H$500,MATCH('Beneficiaries (12)'!$B21,Logs!$A$2:$A$500,0)),)</f>
        <v>204.16</v>
      </c>
      <c r="P21" s="172">
        <f>IFERROR(N21*O21,0)</f>
        <v>4491.5199999999995</v>
      </c>
      <c r="Q21" s="173"/>
      <c r="R21" s="145" t="s"/>
    </row>
    <row r="22">
      <c r="A22" s="144" t="str">
        <f>ID_Valid(E22)</f>
      </c>
      <c r="B22" s="165">
        <v>233</v>
      </c>
      <c r="C22" s="174" t="str">
        <f>IFERROR(INDEX(Logs!$B$2:$B$500,MATCH('Beneficiaries (12)'!$B22,Logs!$A$2:$A$500,0)),"")</f>
        <v>Unathi</v>
      </c>
      <c r="D22" s="166" t="str">
        <f>IFERROR(INDEX(Logs!$C$2:$C$500,MATCH('Beneficiaries (12)'!$B22,Logs!$A$2:$A$500,0)),"")</f>
        <v>Mbete</v>
      </c>
      <c r="E22" s="167" t="str">
        <f>IFERROR(INDEX(Logs!$D$2:$D$500,MATCH('Beneficiaries (12)'!$B22,Logs!$A$2:$A$500,0)),"")</f>
        <v>8204020960084</v>
      </c>
      <c r="F22" s="168" t="s">
        <v>125</v>
      </c>
      <c r="G22" s="165" t="str">
        <f>TheGender(E22)</f>
        <v>F</v>
      </c>
      <c r="H22" s="165" t="s">
        <v>125</v>
      </c>
      <c r="I22" s="165" t="s">
        <v>126</v>
      </c>
      <c r="J22" s="165" t="str">
        <f>IFERROR(INDEX(Logs!$E$2:$E$500,MATCH('Beneficiaries (12)'!$B22,Logs!$A$2:$A$500,0)),"")</f>
        <v>03/07/2023</v>
      </c>
      <c r="K22" s="165" t="str">
        <f>IFERROR(INDEX(Logs!$F$2:$F$500,MATCH('Beneficiaries (12)'!$B22,Logs!$A$2:$A$500,0)),"")</f>
        <v>30/06/2024</v>
      </c>
      <c r="L22" s="165">
        <f>IFERROR(INDEX(Logs!$G$2:$G$500,MATCH('Beneficiaries (12)'!$B22,Logs!$A$2:$A$500,0)),0)</f>
        <v>16</v>
      </c>
      <c r="M22" s="165">
        <v>0</v>
      </c>
      <c r="N22" s="165">
        <f>L22+M22</f>
        <v>16</v>
      </c>
      <c r="O22" s="171">
        <f>IFERROR(INDEX(Logs!$H$2:$H$500,MATCH('Beneficiaries (12)'!$B22,Logs!$A$2:$A$500,0)),)</f>
        <v>204.16</v>
      </c>
      <c r="P22" s="172">
        <f>IFERROR(N22*O22,0)</f>
        <v>3266.56</v>
      </c>
      <c r="Q22" s="173"/>
      <c r="R22" s="145" t="s"/>
    </row>
    <row r="23">
      <c r="A23" s="144" t="str">
        <f>ID_Valid(E23)</f>
      </c>
      <c r="B23" s="165">
        <v>234</v>
      </c>
      <c r="C23" s="174" t="str">
        <f>IFERROR(INDEX(Logs!$B$2:$B$500,MATCH('Beneficiaries (12)'!$B23,Logs!$A$2:$A$500,0)),"")</f>
        <v>Ndimphiwe</v>
      </c>
      <c r="D23" s="166" t="str">
        <f>IFERROR(INDEX(Logs!$C$2:$C$500,MATCH('Beneficiaries (12)'!$B23,Logs!$A$2:$A$500,0)),"")</f>
        <v>Mdunyelwa</v>
      </c>
      <c r="E23" s="167" t="str">
        <f>IFERROR(INDEX(Logs!$D$2:$D$500,MATCH('Beneficiaries (12)'!$B23,Logs!$A$2:$A$500,0)),"")</f>
        <v>8905046199081</v>
      </c>
      <c r="F23" s="168" t="s">
        <v>125</v>
      </c>
      <c r="G23" s="165" t="str">
        <f>TheGender(E23)</f>
        <v>M</v>
      </c>
      <c r="H23" s="165" t="s">
        <v>125</v>
      </c>
      <c r="I23" s="165" t="s">
        <v>126</v>
      </c>
      <c r="J23" s="165" t="str">
        <f>IFERROR(INDEX(Logs!$E$2:$E$500,MATCH('Beneficiaries (12)'!$B23,Logs!$A$2:$A$500,0)),"")</f>
        <v>06/07/2023</v>
      </c>
      <c r="K23" s="165" t="str">
        <f>IFERROR(INDEX(Logs!$F$2:$F$500,MATCH('Beneficiaries (12)'!$B23,Logs!$A$2:$A$500,0)),"")</f>
        <v>30/06/2024</v>
      </c>
      <c r="L23" s="165">
        <f>IFERROR(INDEX(Logs!$G$2:$G$500,MATCH('Beneficiaries (12)'!$B23,Logs!$A$2:$A$500,0)),0)</f>
        <v>16</v>
      </c>
      <c r="M23" s="165">
        <v>0</v>
      </c>
      <c r="N23" s="165">
        <f>L23+M23</f>
        <v>16</v>
      </c>
      <c r="O23" s="171">
        <f>IFERROR(INDEX(Logs!$H$2:$H$500,MATCH('Beneficiaries (12)'!$B23,Logs!$A$2:$A$500,0)),)</f>
        <v>204.16</v>
      </c>
      <c r="P23" s="172">
        <f>IFERROR(N23*O23,0)</f>
        <v>3266.56</v>
      </c>
      <c r="Q23" s="173"/>
      <c r="R23" s="145" t="s"/>
    </row>
    <row r="24">
      <c r="A24" s="144" t="str">
        <f>ID_Valid(E24)</f>
        <v>INVALID ID - Check Digit</v>
      </c>
      <c r="B24" s="165">
        <v>235</v>
      </c>
      <c r="C24" s="174" t="str">
        <f>IFERROR(INDEX(Logs!$B$2:$B$500,MATCH('Beneficiaries (12)'!$B24,Logs!$A$2:$A$500,0)),"")</f>
        <v>Siyamthemba</v>
      </c>
      <c r="D24" s="166" t="str">
        <f>IFERROR(INDEX(Logs!$C$2:$C$500,MATCH('Beneficiaries (12)'!$B24,Logs!$A$2:$A$500,0)),"")</f>
        <v>Nomvethe</v>
      </c>
      <c r="E24" s="167" t="str">
        <f>IFERROR(INDEX(Logs!$D$2:$D$500,MATCH('Beneficiaries (12)'!$B24,Logs!$A$2:$A$500,0)),"")</f>
        <v>9206020526081</v>
      </c>
      <c r="F24" s="168" t="s">
        <v>125</v>
      </c>
      <c r="G24" s="165" t="str">
        <f>TheGender(E24)</f>
        <v>F</v>
      </c>
      <c r="H24" s="165" t="s">
        <v>125</v>
      </c>
      <c r="I24" s="165" t="s">
        <v>126</v>
      </c>
      <c r="J24" s="165" t="str">
        <f>IFERROR(INDEX(Logs!$E$2:$E$500,MATCH('Beneficiaries (12)'!$B24,Logs!$A$2:$A$500,0)),"")</f>
        <v>03/07/2023</v>
      </c>
      <c r="K24" s="165" t="str">
        <f>IFERROR(INDEX(Logs!$F$2:$F$500,MATCH('Beneficiaries (12)'!$B24,Logs!$A$2:$A$500,0)),"")</f>
        <v>30/06/2024</v>
      </c>
      <c r="L24" s="165">
        <f>IFERROR(INDEX(Logs!$G$2:$G$500,MATCH('Beneficiaries (12)'!$B24,Logs!$A$2:$A$500,0)),0)</f>
        <v>16</v>
      </c>
      <c r="M24" s="165">
        <v>0</v>
      </c>
      <c r="N24" s="165">
        <f>L24+M24</f>
        <v>16</v>
      </c>
      <c r="O24" s="171">
        <f>IFERROR(INDEX(Logs!$H$2:$H$500,MATCH('Beneficiaries (12)'!$B24,Logs!$A$2:$A$500,0)),)</f>
        <v>204.16</v>
      </c>
      <c r="P24" s="172">
        <f>IFERROR(N24*O24,0)</f>
        <v>3266.56</v>
      </c>
      <c r="Q24" s="173"/>
      <c r="R24" s="145" t="s"/>
    </row>
    <row r="25">
      <c r="A25" s="144" t="str">
        <f>ID_Valid(E25)</f>
      </c>
      <c r="B25" s="165">
        <v>236</v>
      </c>
      <c r="C25" s="170" t="str">
        <f>IFERROR(INDEX(Logs!$B$2:$B$500,MATCH('Beneficiaries (12)'!$B25,Logs!$A$2:$A$500,0)),"")</f>
        <v>Phindile</v>
      </c>
      <c r="D25" s="166" t="str">
        <f>IFERROR(INDEX(Logs!$C$2:$C$500,MATCH('Beneficiaries (12)'!$B25,Logs!$A$2:$A$500,0)),"")</f>
        <v>Fothoyi</v>
      </c>
      <c r="E25" s="167" t="str">
        <f>IFERROR(INDEX(Logs!$D$2:$D$500,MATCH('Beneficiaries (12)'!$B25,Logs!$A$2:$A$500,0)),"")</f>
        <v>8809126576087</v>
      </c>
      <c r="F25" s="168" t="s">
        <v>125</v>
      </c>
      <c r="G25" s="165" t="str">
        <f>TheGender(E25)</f>
        <v>M</v>
      </c>
      <c r="H25" s="165" t="s">
        <v>125</v>
      </c>
      <c r="I25" s="165" t="s">
        <v>126</v>
      </c>
      <c r="J25" s="165" t="str">
        <f>IFERROR(INDEX(Logs!$E$2:$E$500,MATCH('Beneficiaries (12)'!$B25,Logs!$A$2:$A$500,0)),"")</f>
        <v>03/07/2023</v>
      </c>
      <c r="K25" s="165" t="str">
        <f>IFERROR(INDEX(Logs!$F$2:$F$500,MATCH('Beneficiaries (12)'!$B25,Logs!$A$2:$A$500,0)),"")</f>
        <v>30/06/2024</v>
      </c>
      <c r="L25" s="165">
        <f>IFERROR(INDEX(Logs!$G$2:$G$500,MATCH('Beneficiaries (12)'!$B25,Logs!$A$2:$A$500,0)),0)</f>
        <v>16</v>
      </c>
      <c r="M25" s="165">
        <v>0</v>
      </c>
      <c r="N25" s="165">
        <f>L25+M25</f>
        <v>16</v>
      </c>
      <c r="O25" s="171">
        <f>IFERROR(INDEX(Logs!$H$2:$H$500,MATCH('Beneficiaries (12)'!$B25,Logs!$A$2:$A$500,0)),)</f>
        <v>204.16</v>
      </c>
      <c r="P25" s="172">
        <f>IFERROR(N25*O25,0)</f>
        <v>3266.56</v>
      </c>
      <c r="Q25" s="173"/>
      <c r="R25" s="145" t="s"/>
    </row>
    <row r="26">
      <c r="A26" s="144" t="str">
        <f>ID_Valid(E26)</f>
      </c>
      <c r="B26" s="165">
        <v>237</v>
      </c>
      <c r="C26" s="170" t="str">
        <f>IFERROR(INDEX(Logs!$B$2:$B$500,MATCH('Beneficiaries (12)'!$B26,Logs!$A$2:$A$500,0)),"")</f>
        <v>Zoliswa</v>
      </c>
      <c r="D26" s="166" t="str">
        <f>IFERROR(INDEX(Logs!$C$2:$C$500,MATCH('Beneficiaries (12)'!$B26,Logs!$A$2:$A$500,0)),"")</f>
        <v>Ndamase</v>
      </c>
      <c r="E26" s="167" t="str">
        <f>IFERROR(INDEX(Logs!$D$2:$D$500,MATCH('Beneficiaries (12)'!$B26,Logs!$A$2:$A$500,0)),"")</f>
        <v>8809051676084</v>
      </c>
      <c r="F26" s="168" t="s">
        <v>125</v>
      </c>
      <c r="G26" s="165" t="str">
        <f>TheGender(E26)</f>
        <v>F</v>
      </c>
      <c r="H26" s="165" t="s">
        <v>125</v>
      </c>
      <c r="I26" s="165" t="s">
        <v>126</v>
      </c>
      <c r="J26" s="165" t="str">
        <f>IFERROR(INDEX(Logs!$E$2:$E$500,MATCH('Beneficiaries (12)'!$B26,Logs!$A$2:$A$500,0)),"")</f>
        <v>03/07/2023</v>
      </c>
      <c r="K26" s="165" t="str">
        <f>IFERROR(INDEX(Logs!$F$2:$F$500,MATCH('Beneficiaries (12)'!$B26,Logs!$A$2:$A$500,0)),"")</f>
        <v>30/06/2024</v>
      </c>
      <c r="L26" s="165">
        <f>IFERROR(INDEX(Logs!$G$2:$G$500,MATCH('Beneficiaries (12)'!$B26,Logs!$A$2:$A$500,0)),0)</f>
        <v>16</v>
      </c>
      <c r="M26" s="165">
        <v>0</v>
      </c>
      <c r="N26" s="165">
        <f>L26+M26</f>
        <v>16</v>
      </c>
      <c r="O26" s="171">
        <f>IFERROR(INDEX(Logs!$H$2:$H$500,MATCH('Beneficiaries (12)'!$B26,Logs!$A$2:$A$500,0)),)</f>
        <v>204.16</v>
      </c>
      <c r="P26" s="172">
        <f>IFERROR(N26*O26,0)</f>
        <v>3266.56</v>
      </c>
      <c r="Q26" s="173"/>
      <c r="R26" s="145" t="s"/>
    </row>
    <row r="27">
      <c r="A27" s="144" t="str">
        <f>ID_Valid(E27)</f>
      </c>
      <c r="B27" s="165">
        <v>238</v>
      </c>
      <c r="C27" s="170" t="str">
        <f>IFERROR(INDEX(Logs!$B$2:$B$500,MATCH('Beneficiaries (12)'!$B27,Logs!$A$2:$A$500,0)),"")</f>
        <v>Robert</v>
      </c>
      <c r="D27" s="166" t="str">
        <f>IFERROR(INDEX(Logs!$C$2:$C$500,MATCH('Beneficiaries (12)'!$B27,Logs!$A$2:$A$500,0)),"")</f>
        <v>Fortuin</v>
      </c>
      <c r="E27" s="167" t="str">
        <f>IFERROR(INDEX(Logs!$D$2:$D$500,MATCH('Beneficiaries (12)'!$B27,Logs!$A$2:$A$500,0)),"")</f>
        <v>9207265764086</v>
      </c>
      <c r="F27" s="168" t="s">
        <v>125</v>
      </c>
      <c r="G27" s="165" t="str">
        <f>TheGender(E27)</f>
        <v>M</v>
      </c>
      <c r="H27" s="165" t="s">
        <v>125</v>
      </c>
      <c r="I27" s="165" t="s">
        <v>126</v>
      </c>
      <c r="J27" s="165" t="str">
        <f>IFERROR(INDEX(Logs!$E$2:$E$500,MATCH('Beneficiaries (12)'!$B27,Logs!$A$2:$A$500,0)),"")</f>
        <v>06/07/2023</v>
      </c>
      <c r="K27" s="165" t="str">
        <f>IFERROR(INDEX(Logs!$F$2:$F$500,MATCH('Beneficiaries (12)'!$B27,Logs!$A$2:$A$500,0)),"")</f>
        <v>30/06/2024</v>
      </c>
      <c r="L27" s="165">
        <f>IFERROR(INDEX(Logs!$G$2:$G$500,MATCH('Beneficiaries (12)'!$B27,Logs!$A$2:$A$500,0)),0)</f>
        <v>17</v>
      </c>
      <c r="M27" s="165">
        <v>0</v>
      </c>
      <c r="N27" s="165">
        <f>L27+M27</f>
        <v>17</v>
      </c>
      <c r="O27" s="171">
        <f>IFERROR(INDEX(Logs!$H$2:$H$500,MATCH('Beneficiaries (12)'!$B27,Logs!$A$2:$A$500,0)),)</f>
        <v>204.16</v>
      </c>
      <c r="P27" s="172">
        <f>IFERROR(N27*O27,0)</f>
        <v>3470.72</v>
      </c>
      <c r="Q27" s="173"/>
      <c r="R27" s="145" t="s"/>
    </row>
    <row r="28">
      <c r="A28" s="144" t="str">
        <f>ID_Valid(E28)</f>
      </c>
      <c r="B28" s="165">
        <v>239</v>
      </c>
      <c r="C28" s="170" t="str">
        <f>IFERROR(INDEX(Logs!$B$2:$B$500,MATCH('Beneficiaries (12)'!$B28,Logs!$A$2:$A$500,0)),"")</f>
        <v>Nonzuzo</v>
      </c>
      <c r="D28" s="166" t="str">
        <f>IFERROR(INDEX(Logs!$C$2:$C$500,MATCH('Beneficiaries (12)'!$B28,Logs!$A$2:$A$500,0)),"")</f>
        <v>Daniso</v>
      </c>
      <c r="E28" s="167" t="str">
        <f>IFERROR(INDEX(Logs!$D$2:$D$500,MATCH('Beneficiaries (12)'!$B28,Logs!$A$2:$A$500,0)),"")</f>
        <v>8111101232087</v>
      </c>
      <c r="F28" s="168" t="s">
        <v>125</v>
      </c>
      <c r="G28" s="165" t="str">
        <f>TheGender(E28)</f>
        <v>F</v>
      </c>
      <c r="H28" s="165" t="s">
        <v>125</v>
      </c>
      <c r="I28" s="165" t="s">
        <v>126</v>
      </c>
      <c r="J28" s="165" t="str">
        <f>IFERROR(INDEX(Logs!$E$2:$E$500,MATCH('Beneficiaries (12)'!$B28,Logs!$A$2:$A$500,0)),"")</f>
        <v>01/08/2023</v>
      </c>
      <c r="K28" s="165" t="str">
        <f>IFERROR(INDEX(Logs!$F$2:$F$500,MATCH('Beneficiaries (12)'!$B28,Logs!$A$2:$A$500,0)),"")</f>
        <v>30/06/2024</v>
      </c>
      <c r="L28" s="165">
        <f>IFERROR(INDEX(Logs!$G$2:$G$500,MATCH('Beneficiaries (12)'!$B28,Logs!$A$2:$A$500,0)),0)</f>
        <v>26</v>
      </c>
      <c r="M28" s="165">
        <v>0</v>
      </c>
      <c r="N28" s="165">
        <f>L28+M28</f>
        <v>26</v>
      </c>
      <c r="O28" s="171">
        <f>IFERROR(INDEX(Logs!$H$2:$H$500,MATCH('Beneficiaries (12)'!$B28,Logs!$A$2:$A$500,0)),)</f>
        <v>204.16</v>
      </c>
      <c r="P28" s="172">
        <f>IFERROR(N28*O28,0)</f>
        <v>5308.16</v>
      </c>
      <c r="Q28" s="173"/>
      <c r="R28" s="145" t="s"/>
    </row>
    <row r="29">
      <c r="A29" s="144" t="str">
        <f>ID_Valid(E29)</f>
      </c>
      <c r="B29" s="165">
        <v>240</v>
      </c>
      <c r="C29" s="170" t="str">
        <f>IFERROR(INDEX(Logs!$B$2:$B$500,MATCH('Beneficiaries (12)'!$B29,Logs!$A$2:$A$500,0)),"")</f>
        <v>Yolisa</v>
      </c>
      <c r="D29" s="170" t="str">
        <f>IFERROR(INDEX(Logs!$C$2:$C$500,MATCH('Beneficiaries (12)'!$B29,Logs!$A$2:$A$500,0)),"")</f>
        <v>Grifies</v>
      </c>
      <c r="E29" s="167" t="str">
        <f>IFERROR(INDEX(Logs!$D$2:$D$500,MATCH('Beneficiaries (12)'!$B29,Logs!$A$2:$A$500,0)),"")</f>
        <v>8201013578089</v>
      </c>
      <c r="F29" s="168" t="s">
        <v>125</v>
      </c>
      <c r="G29" s="165" t="str">
        <f>TheGender(E29)</f>
        <v>F</v>
      </c>
      <c r="H29" s="165" t="s">
        <v>125</v>
      </c>
      <c r="I29" s="165" t="s">
        <v>126</v>
      </c>
      <c r="J29" s="165" t="str">
        <f>IFERROR(INDEX(Logs!$E$2:$E$500,MATCH('Beneficiaries (12)'!$B29,Logs!$A$2:$A$500,0)),"")</f>
        <v>01/08/2023</v>
      </c>
      <c r="K29" s="165" t="str">
        <f>IFERROR(INDEX(Logs!$F$2:$F$500,MATCH('Beneficiaries (12)'!$B29,Logs!$A$2:$A$500,0)),"")</f>
        <v>30/06/2024</v>
      </c>
      <c r="L29" s="165">
        <f>IFERROR(INDEX(Logs!$G$2:$G$500,MATCH('Beneficiaries (12)'!$B29,Logs!$A$2:$A$500,0)),0)</f>
        <v>18</v>
      </c>
      <c r="M29" s="165">
        <v>0</v>
      </c>
      <c r="N29" s="165">
        <f>L29+M29</f>
        <v>18</v>
      </c>
      <c r="O29" s="171">
        <f>IFERROR(INDEX(Logs!$H$2:$H$500,MATCH('Beneficiaries (12)'!$B29,Logs!$A$2:$A$500,0)),)</f>
        <v>204.16</v>
      </c>
      <c r="P29" s="172">
        <f>IFERROR(N29*O29,0)</f>
        <v>3674.88</v>
      </c>
      <c r="Q29" s="173"/>
      <c r="R29" s="145" t="s"/>
    </row>
    <row r="30">
      <c r="A30" s="144" t="s"/>
      <c r="B30" s="175"/>
      <c r="C30" s="175"/>
      <c r="D30" s="175"/>
      <c r="E30" s="175"/>
      <c r="F30" s="175"/>
      <c r="G30" s="175"/>
      <c r="H30" s="175"/>
      <c r="I30" s="175"/>
      <c r="J30" s="175"/>
      <c r="K30" s="175"/>
      <c r="L30" s="176">
        <f>SUM(L10:L29)</f>
        <v>375</v>
      </c>
      <c r="M30" s="176">
        <f>SUM(M10:M29)</f>
        <v>0</v>
      </c>
      <c r="N30" s="176">
        <f>SUM(N10:N29)</f>
        <v>375</v>
      </c>
      <c r="O30" s="177">
        <f>SUM(O10:O29)</f>
        <v>4083.1999999999989</v>
      </c>
      <c r="P30" s="178">
        <f>SUM(P10:P29)</f>
        <v>76559.999999999985</v>
      </c>
      <c r="Q30" s="179"/>
      <c r="R30" s="145" t="s"/>
    </row>
    <row r="31" ht="27" customHeight="true">
      <c r="A31" s="144" t="s"/>
      <c r="B31" s="180" t="s">
        <v>127</v>
      </c>
      <c r="C31" s="180"/>
      <c r="D31" s="181" t="s">
        <v>128</v>
      </c>
      <c r="E31" s="153" t="str">
        <f>Project!$G$30</f>
        <v>Benjamin Milandou-Loubeka</v>
      </c>
      <c r="F31" s="153"/>
      <c r="G31" s="153"/>
      <c r="H31" s="153" t="s">
        <v>129</v>
      </c>
      <c r="I31" s="157"/>
      <c r="J31" s="157"/>
      <c r="K31" s="157"/>
      <c r="L31" s="157"/>
      <c r="M31" s="157"/>
      <c r="N31" s="157"/>
      <c r="O31" s="157"/>
      <c r="P31" s="157"/>
      <c r="Q31" s="14"/>
      <c r="R31" s="145" t="s"/>
    </row>
    <row r="32" ht="27" customHeight="true">
      <c r="A32" s="144" t="s"/>
      <c r="B32" s="180"/>
      <c r="C32" s="180"/>
      <c r="D32" s="181" t="s">
        <v>130</v>
      </c>
      <c r="E32" s="182">
        <f>Project!$AN$1</f>
        <v>45199</v>
      </c>
      <c r="F32" s="182"/>
      <c r="G32" s="182"/>
      <c r="H32" s="153"/>
      <c r="I32" s="157"/>
      <c r="J32" s="157"/>
      <c r="K32" s="157"/>
      <c r="L32" s="157"/>
      <c r="M32" s="157"/>
      <c r="N32" s="157"/>
      <c r="O32" s="157"/>
      <c r="P32" s="157"/>
      <c r="Q32" s="14"/>
      <c r="R32" s="145" t="s"/>
    </row>
    <row r="33" ht="14.25" customHeight="true">
      <c r="A33" s="144" t="s"/>
      <c r="B33" s="158"/>
      <c r="C33" s="158"/>
      <c r="D33" s="183"/>
      <c r="E33" s="14"/>
      <c r="F33" s="14"/>
      <c r="G33" s="14"/>
      <c r="H33" s="148"/>
      <c r="I33" s="14"/>
      <c r="J33" s="14"/>
      <c r="K33" s="14"/>
      <c r="L33" s="14"/>
      <c r="M33" s="14"/>
      <c r="N33" s="14"/>
      <c r="O33" s="14"/>
      <c r="P33" s="14"/>
      <c r="Q33" s="14"/>
    </row>
    <row r="34" ht="27" customHeight="true">
      <c r="A34" s="144" t="s"/>
      <c r="B34" s="180" t="s">
        <v>131</v>
      </c>
      <c r="C34" s="180"/>
      <c r="D34" s="181" t="s">
        <v>128</v>
      </c>
      <c r="E34" s="157"/>
      <c r="F34" s="157"/>
      <c r="G34" s="157"/>
      <c r="H34" s="153" t="s">
        <v>129</v>
      </c>
      <c r="I34" s="157"/>
      <c r="J34" s="157"/>
      <c r="K34" s="157"/>
      <c r="L34" s="157"/>
      <c r="M34" s="157"/>
      <c r="N34" s="157"/>
      <c r="O34" s="157"/>
      <c r="P34" s="157"/>
      <c r="Q34" s="14"/>
    </row>
    <row r="35" ht="27" customHeight="true">
      <c r="A35" s="144" t="s"/>
      <c r="B35" s="180"/>
      <c r="C35" s="180"/>
      <c r="D35" s="181" t="s">
        <v>130</v>
      </c>
      <c r="E35" s="157"/>
      <c r="F35" s="157"/>
      <c r="G35" s="157"/>
      <c r="H35" s="153"/>
      <c r="I35" s="157"/>
      <c r="J35" s="157"/>
      <c r="K35" s="157"/>
      <c r="L35" s="157"/>
      <c r="M35" s="157"/>
      <c r="N35" s="157"/>
      <c r="O35" s="157"/>
      <c r="P35" s="157"/>
      <c r="Q35" s="14"/>
    </row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>
      <c r="A74" s="144" t="s"/>
      <c r="B74" s="14"/>
    </row>
  </sheetData>
  <dataValidations count="1">
    <dataValidation allowBlank="true" showInputMessage="true" showErrorMessage="true" promptTitle="Month" type="" sqref="I6">
      <formula1/>
    </dataValidation>
  </dataValidations>
  <mergeCells count="14">
    <mergeCell ref="B3:P3"/>
    <mergeCell ref="B5:C6"/>
    <mergeCell ref="D5:E6"/>
    <mergeCell ref="K5:M5"/>
    <mergeCell ref="B31:C32"/>
    <mergeCell ref="E31:G31"/>
    <mergeCell ref="H31:H32"/>
    <mergeCell ref="I31:P32"/>
    <mergeCell ref="E32:G32"/>
    <mergeCell ref="B34:C35"/>
    <mergeCell ref="E34:G34"/>
    <mergeCell ref="H34:H35"/>
    <mergeCell ref="I34:P35"/>
    <mergeCell ref="E35:G35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14.xml><?xml version="1.0" encoding="utf-8"?>
<worksheet xmlns="http://schemas.openxmlformats.org/spreadsheetml/2006/main">
  <sheetPr filterMode="false">
    <pageSetUpPr fitToPage="false"/>
  </sheetPr>
  <dimension ref="A1:R74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85546875" defaultRowHeight="12.75"/>
  <cols>
    <col collapsed="false" hidden="false" max="1" min="1" style="144" width="20.7109375" customWidth="true"/>
    <col collapsed="false" hidden="false" max="2" min="2" style="1" width="4.42578125" customWidth="true"/>
    <col collapsed="false" hidden="false" max="5" min="3" style="1" width="24.42578125" customWidth="true"/>
    <col collapsed="false" hidden="false" max="5" min="3" style="1" width="24.42578125" customWidth="true"/>
    <col collapsed="false" hidden="false" max="5" min="3" style="1" width="24.42578125" customWidth="true"/>
    <col collapsed="false" hidden="false" max="6" min="6" style="1" width="10.140625" customWidth="true"/>
    <col collapsed="false" hidden="false" max="9" min="7" style="1" width="8.85546875" customWidth="true"/>
    <col collapsed="false" hidden="false" max="9" min="7" style="1" width="8.85546875" customWidth="true"/>
    <col collapsed="false" hidden="false" max="9" min="7" style="1" width="8.85546875" customWidth="true"/>
    <col collapsed="false" hidden="false" max="11" min="10" style="1" width="10.140625" customWidth="true"/>
    <col collapsed="false" hidden="false" max="11" min="10" style="1" width="10.14062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7" min="16" style="1" width="14.5703125" customWidth="true"/>
    <col collapsed="false" hidden="false" max="17" min="16" style="1" width="14.5703125" customWidth="true"/>
    <col collapsed="false" hidden="false" max="18" min="18" style="145" width="8.85546875" customWidth="true"/>
  </cols>
  <sheetData>
    <row r="1">
      <c r="A1" s="144" t="s"/>
      <c r="B1" s="146" t="s">
        <v>96</v>
      </c>
      <c r="C1" s="2"/>
      <c r="D1" s="2"/>
      <c r="E1" s="147" t="s">
        <v>2</v>
      </c>
      <c r="F1" s="1" t="s"/>
      <c r="G1" s="2"/>
      <c r="H1" s="2"/>
      <c r="I1" s="2"/>
      <c r="J1" s="1" t="s"/>
      <c r="K1" s="1" t="s"/>
      <c r="L1" s="1" t="s"/>
      <c r="M1" s="1" t="s"/>
      <c r="N1" s="1" t="s"/>
      <c r="O1" s="1" t="s"/>
      <c r="P1" s="1" t="s"/>
      <c r="Q1" s="1" t="s"/>
      <c r="R1" s="11">
        <f>IF(Beneficiaries!$P$30&gt;0,1,"")</f>
        <v>1</v>
      </c>
    </row>
    <row r="2">
      <c r="A2" s="144" t="s"/>
      <c r="B2" s="1" t="s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11">
        <f>IF('Beneficiaries (2)'!$P$30&gt;0,1,"")</f>
        <v>1</v>
      </c>
    </row>
    <row r="3">
      <c r="A3" s="144" t="s"/>
      <c r="B3" s="148" t="s">
        <v>97</v>
      </c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1">
        <f>IF('Beneficiaries (3)'!$P$30&gt;0,1,"")</f>
        <v>1</v>
      </c>
    </row>
    <row r="4">
      <c r="A4" s="144" t="s"/>
      <c r="B4" s="1" t="s"/>
      <c r="C4" s="146"/>
      <c r="D4" s="146"/>
      <c r="E4" s="146"/>
      <c r="F4" s="146"/>
      <c r="G4" s="146"/>
      <c r="H4" s="1" t="s"/>
      <c r="I4" s="1" t="s"/>
      <c r="J4" s="1" t="s"/>
      <c r="K4" s="1" t="s"/>
      <c r="L4" s="1" t="s"/>
      <c r="M4" s="1" t="s"/>
      <c r="N4" s="1" t="s"/>
      <c r="O4" s="1" t="s"/>
      <c r="P4" s="1" t="s"/>
      <c r="Q4" s="1" t="s"/>
      <c r="R4" s="11">
        <f>IF('Beneficiaries (4)'!$P$30&gt;0,1,"")</f>
        <v>1</v>
      </c>
    </row>
    <row r="5" ht="12.75" customHeight="true">
      <c r="A5" s="144" t="s"/>
      <c r="B5" s="149" t="s">
        <v>98</v>
      </c>
      <c r="C5" s="150"/>
      <c r="D5" s="151" t="str">
        <f>Project!$Z$25</f>
        <v>WSDS/24/111i</v>
      </c>
      <c r="E5" s="151"/>
      <c r="F5" s="152"/>
      <c r="G5" s="1" t="s"/>
      <c r="H5" s="153" t="s">
        <v>99</v>
      </c>
      <c r="I5" s="153" t="s">
        <v>100</v>
      </c>
      <c r="J5" s="146"/>
      <c r="K5" s="154" t="s">
        <v>101</v>
      </c>
      <c r="L5" s="154"/>
      <c r="M5" s="154"/>
      <c r="N5" s="39"/>
      <c r="O5" s="39"/>
      <c r="P5" s="146"/>
      <c r="Q5" s="146"/>
      <c r="R5" s="11">
        <f>IF('Beneficiaries (5)'!$P$30&gt;0,1,"")</f>
        <v>1</v>
      </c>
    </row>
    <row r="6">
      <c r="A6" s="144" t="s"/>
      <c r="B6" s="155"/>
      <c r="C6" s="156"/>
      <c r="D6" s="151"/>
      <c r="E6" s="151"/>
      <c r="F6" s="152"/>
      <c r="G6" s="1" t="s"/>
      <c r="H6" s="109" t="str">
        <f>TEXT(Project!$AN$1,"YYYY")</f>
        <v>2023</v>
      </c>
      <c r="I6" s="109" t="str">
        <f>TEXT(Project!$AN$1,"MMMM")</f>
        <v>September</v>
      </c>
      <c r="J6" s="7"/>
      <c r="K6" s="157">
        <v>1</v>
      </c>
      <c r="L6" s="154" t="s">
        <v>102</v>
      </c>
      <c r="M6" s="154">
        <f>IF(K6&gt;0,COUNT(R1:R20),"")</f>
        <v>14</v>
      </c>
      <c r="N6" s="39"/>
      <c r="O6" s="39"/>
      <c r="P6" s="14"/>
      <c r="Q6" s="14"/>
      <c r="R6" s="11">
        <f>IF('Beneficiaries (6)'!$P$30&gt;0,1,"")</f>
        <v>1</v>
      </c>
    </row>
    <row r="7">
      <c r="A7" s="144" t="s"/>
      <c r="B7" s="158"/>
      <c r="C7" s="158"/>
      <c r="D7" s="158"/>
      <c r="E7" s="14"/>
      <c r="F7" s="14"/>
      <c r="G7" s="1" t="s"/>
      <c r="H7" s="7"/>
      <c r="I7" s="7"/>
      <c r="J7" s="7"/>
      <c r="K7" s="14"/>
      <c r="L7" s="39"/>
      <c r="M7" s="39"/>
      <c r="N7" s="39"/>
      <c r="O7" s="39"/>
      <c r="P7" s="14"/>
      <c r="Q7" s="14"/>
      <c r="R7" s="11">
        <f>IF('Beneficiaries (7)'!$P$30&gt;0,1,"")</f>
        <v>1</v>
      </c>
    </row>
    <row r="8">
      <c r="A8" s="144" t="s"/>
      <c r="B8" s="159"/>
      <c r="C8" s="160" t="s">
        <v>103</v>
      </c>
      <c r="D8" s="160" t="s">
        <v>103</v>
      </c>
      <c r="E8" s="160" t="s">
        <v>103</v>
      </c>
      <c r="F8" s="160" t="s">
        <v>104</v>
      </c>
      <c r="G8" s="159"/>
      <c r="H8" s="159"/>
      <c r="I8" s="160" t="s">
        <v>105</v>
      </c>
      <c r="J8" s="159"/>
      <c r="K8" s="160" t="s">
        <v>106</v>
      </c>
      <c r="L8" s="160" t="s">
        <v>107</v>
      </c>
      <c r="M8" s="160" t="s">
        <v>108</v>
      </c>
      <c r="N8" s="160"/>
      <c r="O8" s="160" t="s">
        <v>109</v>
      </c>
      <c r="P8" s="160"/>
      <c r="Q8" s="161"/>
      <c r="R8" s="11">
        <f>IF('Beneficiaries (8)'!$P$30&gt;0,1,"")</f>
        <v>1</v>
      </c>
    </row>
    <row r="9">
      <c r="A9" s="144" t="s"/>
      <c r="B9" s="162" t="s">
        <v>110</v>
      </c>
      <c r="C9" s="162" t="s">
        <v>111</v>
      </c>
      <c r="D9" s="162" t="s">
        <v>112</v>
      </c>
      <c r="E9" s="162" t="s">
        <v>113</v>
      </c>
      <c r="F9" s="163" t="s">
        <v>114</v>
      </c>
      <c r="G9" s="163" t="s">
        <v>115</v>
      </c>
      <c r="H9" s="163" t="s">
        <v>116</v>
      </c>
      <c r="I9" s="163" t="s">
        <v>117</v>
      </c>
      <c r="J9" s="163" t="s">
        <v>118</v>
      </c>
      <c r="K9" s="163" t="s">
        <v>119</v>
      </c>
      <c r="L9" s="163" t="s">
        <v>120</v>
      </c>
      <c r="M9" s="163" t="s">
        <v>121</v>
      </c>
      <c r="N9" s="163" t="s">
        <v>122</v>
      </c>
      <c r="O9" s="163" t="s">
        <v>123</v>
      </c>
      <c r="P9" s="163" t="s">
        <v>124</v>
      </c>
      <c r="Q9" s="164"/>
      <c r="R9" s="11">
        <f>IF('Beneficiaries (9)'!$P$30&gt;0,1,"")</f>
        <v>1</v>
      </c>
    </row>
    <row r="10">
      <c r="A10" s="144" t="str">
        <f>ID_Valid(E10)</f>
      </c>
      <c r="B10" s="165">
        <v>241</v>
      </c>
      <c r="C10" s="166" t="str">
        <f>IFERROR(INDEX(Logs!$B$2:$B$500,MATCH('Beneficiaries (13)'!$B10,Logs!$A$2:$A$500,0)),"")</f>
        <v>Nomzamo</v>
      </c>
      <c r="D10" s="166" t="str">
        <f>IFERROR(INDEX(Logs!$C$2:$C$500,MATCH('Beneficiaries (13)'!$B10,Logs!$A$2:$A$500,0)),"")</f>
        <v>Batula</v>
      </c>
      <c r="E10" s="167" t="str">
        <f>IFERROR(INDEX(Logs!$D$2:$D$500,MATCH('Beneficiaries (13)'!$B10,Logs!$A$2:$A$500,0)),"")</f>
        <v>8406090587081</v>
      </c>
      <c r="F10" s="168" t="s">
        <v>125</v>
      </c>
      <c r="G10" s="165" t="str">
        <f>TheGender(E10)</f>
        <v>F</v>
      </c>
      <c r="H10" s="165" t="s">
        <v>125</v>
      </c>
      <c r="I10" s="169" t="s">
        <v>126</v>
      </c>
      <c r="J10" s="170" t="str">
        <f>IFERROR(INDEX(Logs!$E$2:$E$500,MATCH('Beneficiaries (13)'!$B10,Logs!$A$2:$A$500,0)),"")</f>
        <v>01/08/2023</v>
      </c>
      <c r="K10" s="170" t="str">
        <f>IFERROR(INDEX(Logs!$F$2:$F$500,MATCH('Beneficiaries (13)'!$B10,Logs!$A$2:$A$500,0)),"")</f>
        <v>30/06/2024</v>
      </c>
      <c r="L10" s="165">
        <f>IFERROR(INDEX(Logs!$G$2:$G$500,MATCH('Beneficiaries (13)'!$B10,Logs!$A$2:$A$500,0)),0)</f>
        <v>16</v>
      </c>
      <c r="M10" s="165">
        <v>0</v>
      </c>
      <c r="N10" s="165">
        <f>M10+L10</f>
        <v>16</v>
      </c>
      <c r="O10" s="171">
        <f>IFERROR(INDEX(Logs!$H$2:$H$500,MATCH('Beneficiaries (13)'!$B10,Logs!$A$2:$A$500,0)),)</f>
        <v>218.08</v>
      </c>
      <c r="P10" s="172">
        <f>IFERROR(N10*O10,0)</f>
        <v>3489.28</v>
      </c>
      <c r="Q10" s="173"/>
      <c r="R10" s="11">
        <f>IF('Beneficiaries (10)'!$P$30&gt;0,1,"")</f>
        <v>1</v>
      </c>
    </row>
    <row r="11">
      <c r="A11" s="144" t="str">
        <f>ID_Valid(E11)</f>
      </c>
      <c r="B11" s="165">
        <v>242</v>
      </c>
      <c r="C11" s="166" t="str">
        <f>IFERROR(INDEX(Logs!$B$2:$B$500,MATCH('Beneficiaries (13)'!$B11,Logs!$A$2:$A$500,0)),"")</f>
        <v>Pamella</v>
      </c>
      <c r="D11" s="166" t="str">
        <f>IFERROR(INDEX(Logs!$C$2:$C$500,MATCH('Beneficiaries (13)'!$B11,Logs!$A$2:$A$500,0)),"")</f>
        <v>Mayile</v>
      </c>
      <c r="E11" s="167" t="str">
        <f>IFERROR(INDEX(Logs!$D$2:$D$500,MATCH('Beneficiaries (13)'!$B11,Logs!$A$2:$A$500,0)),"")</f>
        <v>7611160349087</v>
      </c>
      <c r="F11" s="168" t="s">
        <v>125</v>
      </c>
      <c r="G11" s="165" t="str">
        <f>TheGender(E11)</f>
        <v>F</v>
      </c>
      <c r="H11" s="165" t="s">
        <v>125</v>
      </c>
      <c r="I11" s="165" t="s">
        <v>126</v>
      </c>
      <c r="J11" s="165" t="str">
        <f>IFERROR(INDEX(Logs!$E$2:$E$500,MATCH('Beneficiaries (13)'!$B11,Logs!$A$2:$A$500,0)),"")</f>
        <v>01/08/2023</v>
      </c>
      <c r="K11" s="165" t="str">
        <f>IFERROR(INDEX(Logs!$F$2:$F$500,MATCH('Beneficiaries (13)'!$B11,Logs!$A$2:$A$500,0)),"")</f>
        <v>30/06/2024</v>
      </c>
      <c r="L11" s="165">
        <f>IFERROR(INDEX(Logs!$G$2:$G$500,MATCH('Beneficiaries (13)'!$B11,Logs!$A$2:$A$500,0)),0)</f>
        <v>16</v>
      </c>
      <c r="M11" s="165">
        <v>0</v>
      </c>
      <c r="N11" s="165">
        <f>L11+M11</f>
        <v>16</v>
      </c>
      <c r="O11" s="171">
        <f>IFERROR(INDEX(Logs!$H$2:$H$500,MATCH('Beneficiaries (13)'!$B11,Logs!$A$2:$A$500,0)),)</f>
        <v>218.08</v>
      </c>
      <c r="P11" s="172">
        <f>IFERROR(N11*O11,0)</f>
        <v>3489.28</v>
      </c>
      <c r="Q11" s="173"/>
      <c r="R11" s="11">
        <f>IF('Beneficiaries (11)'!$P$30&gt;0,1,"")</f>
        <v>1</v>
      </c>
    </row>
    <row r="12">
      <c r="A12" s="144" t="str">
        <f>ID_Valid(E12)</f>
      </c>
      <c r="B12" s="165">
        <v>243</v>
      </c>
      <c r="C12" s="166" t="str">
        <f>IFERROR(INDEX(Logs!$B$2:$B$500,MATCH('Beneficiaries (13)'!$B12,Logs!$A$2:$A$500,0)),"")</f>
        <v>Nomhlaba</v>
      </c>
      <c r="D12" s="166" t="str">
        <f>IFERROR(INDEX(Logs!$C$2:$C$500,MATCH('Beneficiaries (13)'!$B12,Logs!$A$2:$A$500,0)),"")</f>
        <v>Mantla</v>
      </c>
      <c r="E12" s="167" t="str">
        <f>IFERROR(INDEX(Logs!$D$2:$D$500,MATCH('Beneficiaries (13)'!$B12,Logs!$A$2:$A$500,0)),"")</f>
        <v>8008060614083</v>
      </c>
      <c r="F12" s="168" t="s">
        <v>125</v>
      </c>
      <c r="G12" s="165" t="str">
        <f>TheGender(E12)</f>
        <v>F</v>
      </c>
      <c r="H12" s="165" t="s">
        <v>125</v>
      </c>
      <c r="I12" s="165" t="s">
        <v>126</v>
      </c>
      <c r="J12" s="165" t="str">
        <f>IFERROR(INDEX(Logs!$E$2:$E$500,MATCH('Beneficiaries (13)'!$B12,Logs!$A$2:$A$500,0)),"")</f>
        <v>01/08/2023</v>
      </c>
      <c r="K12" s="165" t="str">
        <f>IFERROR(INDEX(Logs!$F$2:$F$500,MATCH('Beneficiaries (13)'!$B12,Logs!$A$2:$A$500,0)),"")</f>
        <v>30/06/2024</v>
      </c>
      <c r="L12" s="165">
        <f>IFERROR(INDEX(Logs!$G$2:$G$500,MATCH('Beneficiaries (13)'!$B12,Logs!$A$2:$A$500,0)),0)</f>
        <v>16</v>
      </c>
      <c r="M12" s="165">
        <v>0</v>
      </c>
      <c r="N12" s="165">
        <f>L12+M12</f>
        <v>16</v>
      </c>
      <c r="O12" s="171">
        <f>IFERROR(INDEX(Logs!$H$2:$H$500,MATCH('Beneficiaries (13)'!$B12,Logs!$A$2:$A$500,0)),)</f>
        <v>204.16</v>
      </c>
      <c r="P12" s="172">
        <f>IFERROR(N12*O12,0)</f>
        <v>3266.56</v>
      </c>
      <c r="Q12" s="173"/>
      <c r="R12" s="11">
        <f>IF('Beneficiaries (12)'!$P$30&gt;0,1,"")</f>
        <v>1</v>
      </c>
    </row>
    <row r="13">
      <c r="A13" s="144" t="str">
        <f>ID_Valid(E13)</f>
      </c>
      <c r="B13" s="165">
        <v>244</v>
      </c>
      <c r="C13" s="166" t="str">
        <f>IFERROR(INDEX(Logs!$B$2:$B$500,MATCH('Beneficiaries (13)'!$B13,Logs!$A$2:$A$500,0)),"")</f>
        <v>Siphokazi</v>
      </c>
      <c r="D13" s="166" t="str">
        <f>IFERROR(INDEX(Logs!$C$2:$C$500,MATCH('Beneficiaries (13)'!$B13,Logs!$A$2:$A$500,0)),"")</f>
        <v>Sitole</v>
      </c>
      <c r="E13" s="167" t="str">
        <f>IFERROR(INDEX(Logs!$D$2:$D$500,MATCH('Beneficiaries (13)'!$B13,Logs!$A$2:$A$500,0)),"")</f>
        <v>9203200498088</v>
      </c>
      <c r="F13" s="168" t="s">
        <v>125</v>
      </c>
      <c r="G13" s="165" t="str">
        <f>TheGender(E13)</f>
        <v>F</v>
      </c>
      <c r="H13" s="165" t="s">
        <v>125</v>
      </c>
      <c r="I13" s="165" t="s">
        <v>126</v>
      </c>
      <c r="J13" s="165" t="str">
        <f>IFERROR(INDEX(Logs!$E$2:$E$500,MATCH('Beneficiaries (13)'!$B13,Logs!$A$2:$A$500,0)),"")</f>
        <v>01/08/2023</v>
      </c>
      <c r="K13" s="165" t="str">
        <f>IFERROR(INDEX(Logs!$F$2:$F$500,MATCH('Beneficiaries (13)'!$B13,Logs!$A$2:$A$500,0)),"")</f>
        <v>30/06/2024</v>
      </c>
      <c r="L13" s="165">
        <f>IFERROR(INDEX(Logs!$G$2:$G$500,MATCH('Beneficiaries (13)'!$B13,Logs!$A$2:$A$500,0)),0)</f>
        <v>16</v>
      </c>
      <c r="M13" s="165">
        <v>0</v>
      </c>
      <c r="N13" s="165">
        <f>L13+M13</f>
        <v>16</v>
      </c>
      <c r="O13" s="171">
        <f>IFERROR(INDEX(Logs!$H$2:$H$500,MATCH('Beneficiaries (13)'!$B13,Logs!$A$2:$A$500,0)),)</f>
        <v>204.16</v>
      </c>
      <c r="P13" s="172">
        <f>IFERROR(N13*O13,0)</f>
        <v>3266.56</v>
      </c>
      <c r="Q13" s="173"/>
      <c r="R13" s="11">
        <f>IF('Beneficiaries (13)'!$P$30&gt;0,1,"")</f>
        <v>1</v>
      </c>
    </row>
    <row r="14">
      <c r="A14" s="144" t="str">
        <f>ID_Valid(E14)</f>
      </c>
      <c r="B14" s="165">
        <v>245</v>
      </c>
      <c r="C14" s="166" t="str">
        <f>IFERROR(INDEX(Logs!$B$2:$B$500,MATCH('Beneficiaries (13)'!$B14,Logs!$A$2:$A$500,0)),"")</f>
        <v>Nolinda</v>
      </c>
      <c r="D14" s="166" t="str">
        <f>IFERROR(INDEX(Logs!$C$2:$C$500,MATCH('Beneficiaries (13)'!$B14,Logs!$A$2:$A$500,0)),"")</f>
        <v>Madubela</v>
      </c>
      <c r="E14" s="167" t="str">
        <f>IFERROR(INDEX(Logs!$D$2:$D$500,MATCH('Beneficiaries (13)'!$B14,Logs!$A$2:$A$500,0)),"")</f>
        <v>7603110826082</v>
      </c>
      <c r="F14" s="168" t="s">
        <v>125</v>
      </c>
      <c r="G14" s="165" t="str">
        <f>TheGender(E14)</f>
        <v>F</v>
      </c>
      <c r="H14" s="165" t="s">
        <v>125</v>
      </c>
      <c r="I14" s="165" t="s">
        <v>126</v>
      </c>
      <c r="J14" s="165" t="str">
        <f>IFERROR(INDEX(Logs!$E$2:$E$500,MATCH('Beneficiaries (13)'!$B14,Logs!$A$2:$A$500,0)),"")</f>
        <v>01/08/2023</v>
      </c>
      <c r="K14" s="165" t="str">
        <f>IFERROR(INDEX(Logs!$F$2:$F$500,MATCH('Beneficiaries (13)'!$B14,Logs!$A$2:$A$500,0)),"")</f>
        <v>30/06/2024</v>
      </c>
      <c r="L14" s="165">
        <f>IFERROR(INDEX(Logs!$G$2:$G$500,MATCH('Beneficiaries (13)'!$B14,Logs!$A$2:$A$500,0)),0)</f>
        <v>16</v>
      </c>
      <c r="M14" s="165">
        <v>0</v>
      </c>
      <c r="N14" s="165">
        <f>L14+M14</f>
        <v>16</v>
      </c>
      <c r="O14" s="171">
        <f>IFERROR(INDEX(Logs!$H$2:$H$500,MATCH('Beneficiaries (13)'!$B14,Logs!$A$2:$A$500,0)),)</f>
        <v>204.16</v>
      </c>
      <c r="P14" s="172">
        <f>IFERROR(N14*O14,0)</f>
        <v>3266.56</v>
      </c>
      <c r="Q14" s="173"/>
      <c r="R14" s="11">
        <f>IF('Beneficiaries (14)'!$P$30&gt;0,1,"")</f>
        <v>1</v>
      </c>
    </row>
    <row r="15">
      <c r="A15" s="144" t="str">
        <f>ID_Valid(E15)</f>
      </c>
      <c r="B15" s="165">
        <v>246</v>
      </c>
      <c r="C15" s="166" t="str">
        <f>IFERROR(INDEX(Logs!$B$2:$B$500,MATCH('Beneficiaries (13)'!$B15,Logs!$A$2:$A$500,0)),"")</f>
        <v>Linda</v>
      </c>
      <c r="D15" s="166" t="str">
        <f>IFERROR(INDEX(Logs!$C$2:$C$500,MATCH('Beneficiaries (13)'!$B15,Logs!$A$2:$A$500,0)),"")</f>
        <v>Noyo</v>
      </c>
      <c r="E15" s="167" t="str">
        <f>IFERROR(INDEX(Logs!$D$2:$D$500,MATCH('Beneficiaries (13)'!$B15,Logs!$A$2:$A$500,0)),"")</f>
        <v>8912170210080</v>
      </c>
      <c r="F15" s="168" t="s">
        <v>125</v>
      </c>
      <c r="G15" s="165" t="str">
        <f>TheGender(E15)</f>
        <v>F</v>
      </c>
      <c r="H15" s="165" t="s">
        <v>125</v>
      </c>
      <c r="I15" s="165" t="s">
        <v>126</v>
      </c>
      <c r="J15" s="165" t="str">
        <f>IFERROR(INDEX(Logs!$E$2:$E$500,MATCH('Beneficiaries (13)'!$B15,Logs!$A$2:$A$500,0)),"")</f>
        <v>01/08/2023</v>
      </c>
      <c r="K15" s="165" t="str">
        <f>IFERROR(INDEX(Logs!$F$2:$F$500,MATCH('Beneficiaries (13)'!$B15,Logs!$A$2:$A$500,0)),"")</f>
        <v>30/06/2024</v>
      </c>
      <c r="L15" s="165">
        <f>IFERROR(INDEX(Logs!$G$2:$G$500,MATCH('Beneficiaries (13)'!$B15,Logs!$A$2:$A$500,0)),0)</f>
        <v>16</v>
      </c>
      <c r="M15" s="165">
        <v>0</v>
      </c>
      <c r="N15" s="165">
        <f>L15+M15</f>
        <v>16</v>
      </c>
      <c r="O15" s="171">
        <f>IFERROR(INDEX(Logs!$H$2:$H$500,MATCH('Beneficiaries (13)'!$B15,Logs!$A$2:$A$500,0)),)</f>
        <v>204.16</v>
      </c>
      <c r="P15" s="172">
        <f>IFERROR(N15*O15,0)</f>
        <v>3266.56</v>
      </c>
      <c r="Q15" s="173"/>
      <c r="R15" s="11"/>
    </row>
    <row r="16">
      <c r="A16" s="144" t="str">
        <f>ID_Valid(E16)</f>
      </c>
      <c r="B16" s="165">
        <v>247</v>
      </c>
      <c r="C16" s="166" t="str">
        <f>IFERROR(INDEX(Logs!$B$2:$B$500,MATCH('Beneficiaries (13)'!$B16,Logs!$A$2:$A$500,0)),"")</f>
        <v>Nosicelo</v>
      </c>
      <c r="D16" s="166" t="str">
        <f>IFERROR(INDEX(Logs!$C$2:$C$500,MATCH('Beneficiaries (13)'!$B16,Logs!$A$2:$A$500,0)),"")</f>
        <v>Friffiths</v>
      </c>
      <c r="E16" s="167" t="str">
        <f>IFERROR(INDEX(Logs!$D$2:$D$500,MATCH('Beneficiaries (13)'!$B16,Logs!$A$2:$A$500,0)),"")</f>
        <v>7706110215089</v>
      </c>
      <c r="F16" s="168" t="s">
        <v>125</v>
      </c>
      <c r="G16" s="165" t="str">
        <f>TheGender(E16)</f>
        <v>F</v>
      </c>
      <c r="H16" s="165" t="s">
        <v>125</v>
      </c>
      <c r="I16" s="165" t="s">
        <v>126</v>
      </c>
      <c r="J16" s="165" t="str">
        <f>IFERROR(INDEX(Logs!$E$2:$E$500,MATCH('Beneficiaries (13)'!$B16,Logs!$A$2:$A$500,0)),"")</f>
        <v>01/08/2023</v>
      </c>
      <c r="K16" s="165" t="str">
        <f>IFERROR(INDEX(Logs!$F$2:$F$500,MATCH('Beneficiaries (13)'!$B16,Logs!$A$2:$A$500,0)),"")</f>
        <v>30/06/2024</v>
      </c>
      <c r="L16" s="165">
        <f>IFERROR(INDEX(Logs!$G$2:$G$500,MATCH('Beneficiaries (13)'!$B16,Logs!$A$2:$A$500,0)),0)</f>
        <v>16</v>
      </c>
      <c r="M16" s="165">
        <v>0</v>
      </c>
      <c r="N16" s="165">
        <f>L16+M16</f>
        <v>16</v>
      </c>
      <c r="O16" s="171">
        <f>IFERROR(INDEX(Logs!$H$2:$H$500,MATCH('Beneficiaries (13)'!$B16,Logs!$A$2:$A$500,0)),)</f>
        <v>204.16</v>
      </c>
      <c r="P16" s="172">
        <f>IFERROR(N16*O16,0)</f>
        <v>3266.56</v>
      </c>
      <c r="Q16" s="173"/>
      <c r="R16" s="11"/>
    </row>
    <row r="17">
      <c r="A17" s="144" t="str">
        <f>ID_Valid(E17)</f>
      </c>
      <c r="B17" s="165">
        <v>248</v>
      </c>
      <c r="C17" s="166" t="str">
        <f>IFERROR(INDEX(Logs!$B$2:$B$500,MATCH('Beneficiaries (13)'!$B17,Logs!$A$2:$A$500,0)),"")</f>
        <v>Thobeka</v>
      </c>
      <c r="D17" s="166" t="str">
        <f>IFERROR(INDEX(Logs!$C$2:$C$500,MATCH('Beneficiaries (13)'!$B17,Logs!$A$2:$A$500,0)),"")</f>
        <v>Tobias</v>
      </c>
      <c r="E17" s="167" t="str">
        <f>IFERROR(INDEX(Logs!$D$2:$D$500,MATCH('Beneficiaries (13)'!$B17,Logs!$A$2:$A$500,0)),"")</f>
        <v>6704160750080</v>
      </c>
      <c r="F17" s="168" t="s">
        <v>125</v>
      </c>
      <c r="G17" s="165" t="str">
        <f>TheGender(E17)</f>
        <v>F</v>
      </c>
      <c r="H17" s="165" t="s">
        <v>125</v>
      </c>
      <c r="I17" s="165" t="s">
        <v>126</v>
      </c>
      <c r="J17" s="165" t="str">
        <f>IFERROR(INDEX(Logs!$E$2:$E$500,MATCH('Beneficiaries (13)'!$B17,Logs!$A$2:$A$500,0)),"")</f>
        <v>01/08/2023</v>
      </c>
      <c r="K17" s="165" t="str">
        <f>IFERROR(INDEX(Logs!$F$2:$F$500,MATCH('Beneficiaries (13)'!$B17,Logs!$A$2:$A$500,0)),"")</f>
        <v>30/06/2024</v>
      </c>
      <c r="L17" s="165">
        <f>IFERROR(INDEX(Logs!$G$2:$G$500,MATCH('Beneficiaries (13)'!$B17,Logs!$A$2:$A$500,0)),0)</f>
        <v>16</v>
      </c>
      <c r="M17" s="165">
        <v>0</v>
      </c>
      <c r="N17" s="165">
        <f>L17+M17</f>
        <v>16</v>
      </c>
      <c r="O17" s="171">
        <f>IFERROR(INDEX(Logs!$H$2:$H$500,MATCH('Beneficiaries (13)'!$B17,Logs!$A$2:$A$500,0)),)</f>
        <v>204.16</v>
      </c>
      <c r="P17" s="172">
        <f>IFERROR(N17*O17,0)</f>
        <v>3266.56</v>
      </c>
      <c r="Q17" s="173"/>
      <c r="R17" s="11"/>
    </row>
    <row r="18">
      <c r="A18" s="144" t="str">
        <f>ID_Valid(E18)</f>
      </c>
      <c r="B18" s="165">
        <v>249</v>
      </c>
      <c r="C18" s="166" t="str">
        <f>IFERROR(INDEX(Logs!$B$2:$B$500,MATCH('Beneficiaries (13)'!$B18,Logs!$A$2:$A$500,0)),"")</f>
        <v>Nokubonga</v>
      </c>
      <c r="D18" s="166" t="str">
        <f>IFERROR(INDEX(Logs!$C$2:$C$500,MATCH('Beneficiaries (13)'!$B18,Logs!$A$2:$A$500,0)),"")</f>
        <v>Vetyumana</v>
      </c>
      <c r="E18" s="167" t="str">
        <f>IFERROR(INDEX(Logs!$D$2:$D$500,MATCH('Beneficiaries (13)'!$B18,Logs!$A$2:$A$500,0)),"")</f>
        <v>8507161325085</v>
      </c>
      <c r="F18" s="168" t="s">
        <v>125</v>
      </c>
      <c r="G18" s="165" t="str">
        <f>TheGender(E18)</f>
        <v>F</v>
      </c>
      <c r="H18" s="165" t="s">
        <v>125</v>
      </c>
      <c r="I18" s="165" t="s">
        <v>126</v>
      </c>
      <c r="J18" s="165" t="str">
        <f>IFERROR(INDEX(Logs!$E$2:$E$500,MATCH('Beneficiaries (13)'!$B18,Logs!$A$2:$A$500,0)),"")</f>
        <v>01/08/2023</v>
      </c>
      <c r="K18" s="165" t="str">
        <f>IFERROR(INDEX(Logs!$F$2:$F$500,MATCH('Beneficiaries (13)'!$B18,Logs!$A$2:$A$500,0)),"")</f>
        <v>30/06/2024</v>
      </c>
      <c r="L18" s="165">
        <f>IFERROR(INDEX(Logs!$G$2:$G$500,MATCH('Beneficiaries (13)'!$B18,Logs!$A$2:$A$500,0)),0)</f>
        <v>16</v>
      </c>
      <c r="M18" s="165">
        <v>0</v>
      </c>
      <c r="N18" s="165">
        <f>L18+M18</f>
        <v>16</v>
      </c>
      <c r="O18" s="171">
        <f>IFERROR(INDEX(Logs!$H$2:$H$500,MATCH('Beneficiaries (13)'!$B18,Logs!$A$2:$A$500,0)),)</f>
        <v>204.16</v>
      </c>
      <c r="P18" s="172">
        <f>IFERROR(N18*O18,0)</f>
        <v>3266.56</v>
      </c>
      <c r="Q18" s="173"/>
      <c r="R18" s="11"/>
    </row>
    <row r="19">
      <c r="A19" s="144" t="str">
        <f>ID_Valid(E19)</f>
      </c>
      <c r="B19" s="165">
        <v>250</v>
      </c>
      <c r="C19" s="166" t="str">
        <f>IFERROR(INDEX(Logs!$B$2:$B$500,MATCH('Beneficiaries (13)'!$B19,Logs!$A$2:$A$500,0)),"")</f>
        <v>Jeannette</v>
      </c>
      <c r="D19" s="166" t="str">
        <f>IFERROR(INDEX(Logs!$C$2:$C$500,MATCH('Beneficiaries (13)'!$B19,Logs!$A$2:$A$500,0)),"")</f>
        <v>Vutelwa</v>
      </c>
      <c r="E19" s="167" t="str">
        <f>IFERROR(INDEX(Logs!$D$2:$D$500,MATCH('Beneficiaries (13)'!$B19,Logs!$A$2:$A$500,0)),"")</f>
        <v>9012121641084</v>
      </c>
      <c r="F19" s="168" t="s">
        <v>125</v>
      </c>
      <c r="G19" s="165" t="str">
        <f>TheGender(E19)</f>
        <v>F</v>
      </c>
      <c r="H19" s="165" t="s">
        <v>125</v>
      </c>
      <c r="I19" s="165" t="s">
        <v>126</v>
      </c>
      <c r="J19" s="165" t="str">
        <f>IFERROR(INDEX(Logs!$E$2:$E$500,MATCH('Beneficiaries (13)'!$B19,Logs!$A$2:$A$500,0)),"")</f>
        <v>01/08/2023</v>
      </c>
      <c r="K19" s="165" t="str">
        <f>IFERROR(INDEX(Logs!$F$2:$F$500,MATCH('Beneficiaries (13)'!$B19,Logs!$A$2:$A$500,0)),"")</f>
        <v>30/06/2024</v>
      </c>
      <c r="L19" s="165">
        <f>IFERROR(INDEX(Logs!$G$2:$G$500,MATCH('Beneficiaries (13)'!$B19,Logs!$A$2:$A$500,0)),0)</f>
        <v>16</v>
      </c>
      <c r="M19" s="165">
        <v>0</v>
      </c>
      <c r="N19" s="165">
        <f>L19+M19</f>
        <v>16</v>
      </c>
      <c r="O19" s="171">
        <f>IFERROR(INDEX(Logs!$H$2:$H$500,MATCH('Beneficiaries (13)'!$B19,Logs!$A$2:$A$500,0)),)</f>
        <v>204.16</v>
      </c>
      <c r="P19" s="172">
        <f>IFERROR(N19*O19,0)</f>
        <v>3266.56</v>
      </c>
      <c r="Q19" s="173"/>
      <c r="R19" s="11"/>
    </row>
    <row r="20">
      <c r="A20" s="144" t="str">
        <f>ID_Valid(E20)</f>
      </c>
      <c r="B20" s="165">
        <v>251</v>
      </c>
      <c r="C20" s="166" t="str">
        <f>IFERROR(INDEX(Logs!$B$2:$B$500,MATCH('Beneficiaries (13)'!$B20,Logs!$A$2:$A$500,0)),"")</f>
        <v>Nondenzeni</v>
      </c>
      <c r="D20" s="166" t="str">
        <f>IFERROR(INDEX(Logs!$C$2:$C$500,MATCH('Beneficiaries (13)'!$B20,Logs!$A$2:$A$500,0)),"")</f>
        <v>Kostawuli</v>
      </c>
      <c r="E20" s="167" t="str">
        <f>IFERROR(INDEX(Logs!$D$2:$D$500,MATCH('Beneficiaries (13)'!$B20,Logs!$A$2:$A$500,0)),"")</f>
        <v>8101100809084</v>
      </c>
      <c r="F20" s="168" t="s">
        <v>125</v>
      </c>
      <c r="G20" s="165" t="str">
        <f>TheGender(E20)</f>
        <v>F</v>
      </c>
      <c r="H20" s="165" t="s">
        <v>125</v>
      </c>
      <c r="I20" s="165" t="s">
        <v>126</v>
      </c>
      <c r="J20" s="165" t="str">
        <f>IFERROR(INDEX(Logs!$E$2:$E$500,MATCH('Beneficiaries (13)'!$B20,Logs!$A$2:$A$500,0)),"")</f>
        <v>01/08/2023</v>
      </c>
      <c r="K20" s="165" t="str">
        <f>IFERROR(INDEX(Logs!$F$2:$F$500,MATCH('Beneficiaries (13)'!$B20,Logs!$A$2:$A$500,0)),"")</f>
        <v>30/06/2024</v>
      </c>
      <c r="L20" s="165">
        <f>IFERROR(INDEX(Logs!$G$2:$G$500,MATCH('Beneficiaries (13)'!$B20,Logs!$A$2:$A$500,0)),0)</f>
        <v>16</v>
      </c>
      <c r="M20" s="165">
        <v>0</v>
      </c>
      <c r="N20" s="165">
        <f>L20+M20</f>
        <v>16</v>
      </c>
      <c r="O20" s="171">
        <f>IFERROR(INDEX(Logs!$H$2:$H$500,MATCH('Beneficiaries (13)'!$B20,Logs!$A$2:$A$500,0)),)</f>
        <v>204.16</v>
      </c>
      <c r="P20" s="172">
        <f>IFERROR(N20*O20,0)</f>
        <v>3266.56</v>
      </c>
      <c r="Q20" s="173"/>
      <c r="R20" s="11"/>
    </row>
    <row r="21">
      <c r="A21" s="144" t="str">
        <f>ID_Valid(E21)</f>
      </c>
      <c r="B21" s="165">
        <v>252</v>
      </c>
      <c r="C21" s="166" t="str">
        <f>IFERROR(INDEX(Logs!$B$2:$B$500,MATCH('Beneficiaries (13)'!$B21,Logs!$A$2:$A$500,0)),"")</f>
        <v>Zandile</v>
      </c>
      <c r="D21" s="166" t="str">
        <f>IFERROR(INDEX(Logs!$C$2:$C$500,MATCH('Beneficiaries (13)'!$B21,Logs!$A$2:$A$500,0)),"")</f>
        <v>Moshani</v>
      </c>
      <c r="E21" s="167" t="str">
        <f>IFERROR(INDEX(Logs!$D$2:$D$500,MATCH('Beneficiaries (13)'!$B21,Logs!$A$2:$A$500,0)),"")</f>
        <v>9108201030089</v>
      </c>
      <c r="F21" s="168" t="s">
        <v>125</v>
      </c>
      <c r="G21" s="165" t="str">
        <f>TheGender(E21)</f>
        <v>F</v>
      </c>
      <c r="H21" s="165" t="s">
        <v>125</v>
      </c>
      <c r="I21" s="165" t="s">
        <v>126</v>
      </c>
      <c r="J21" s="165" t="str">
        <f>IFERROR(INDEX(Logs!$E$2:$E$500,MATCH('Beneficiaries (13)'!$B21,Logs!$A$2:$A$500,0)),"")</f>
        <v>01/08/2023</v>
      </c>
      <c r="K21" s="165" t="str">
        <f>IFERROR(INDEX(Logs!$F$2:$F$500,MATCH('Beneficiaries (13)'!$B21,Logs!$A$2:$A$500,0)),"")</f>
        <v>30/06/2024</v>
      </c>
      <c r="L21" s="165">
        <f>IFERROR(INDEX(Logs!$G$2:$G$500,MATCH('Beneficiaries (13)'!$B21,Logs!$A$2:$A$500,0)),0)</f>
        <v>16</v>
      </c>
      <c r="M21" s="165">
        <v>0</v>
      </c>
      <c r="N21" s="165">
        <f>L21+M21</f>
        <v>16</v>
      </c>
      <c r="O21" s="171">
        <f>IFERROR(INDEX(Logs!$H$2:$H$500,MATCH('Beneficiaries (13)'!$B21,Logs!$A$2:$A$500,0)),)</f>
        <v>204.16</v>
      </c>
      <c r="P21" s="172">
        <f>IFERROR(N21*O21,0)</f>
        <v>3266.56</v>
      </c>
      <c r="Q21" s="173"/>
      <c r="R21" s="145" t="s"/>
    </row>
    <row r="22">
      <c r="A22" s="144" t="str">
        <f>ID_Valid(E22)</f>
      </c>
      <c r="B22" s="165">
        <v>253</v>
      </c>
      <c r="C22" s="174" t="str">
        <f>IFERROR(INDEX(Logs!$B$2:$B$500,MATCH('Beneficiaries (13)'!$B22,Logs!$A$2:$A$500,0)),"")</f>
        <v>Nokulunga</v>
      </c>
      <c r="D22" s="166" t="str">
        <f>IFERROR(INDEX(Logs!$C$2:$C$500,MATCH('Beneficiaries (13)'!$B22,Logs!$A$2:$A$500,0)),"")</f>
        <v>Mchako</v>
      </c>
      <c r="E22" s="167" t="str">
        <f>IFERROR(INDEX(Logs!$D$2:$D$500,MATCH('Beneficiaries (13)'!$B22,Logs!$A$2:$A$500,0)),"")</f>
        <v>7306101437089</v>
      </c>
      <c r="F22" s="168" t="s">
        <v>125</v>
      </c>
      <c r="G22" s="165" t="str">
        <f>TheGender(E22)</f>
        <v>F</v>
      </c>
      <c r="H22" s="165" t="s">
        <v>125</v>
      </c>
      <c r="I22" s="165" t="s">
        <v>126</v>
      </c>
      <c r="J22" s="165" t="str">
        <f>IFERROR(INDEX(Logs!$E$2:$E$500,MATCH('Beneficiaries (13)'!$B22,Logs!$A$2:$A$500,0)),"")</f>
        <v>01/08/2023</v>
      </c>
      <c r="K22" s="165" t="str">
        <f>IFERROR(INDEX(Logs!$F$2:$F$500,MATCH('Beneficiaries (13)'!$B22,Logs!$A$2:$A$500,0)),"")</f>
        <v>30/06/2024</v>
      </c>
      <c r="L22" s="165">
        <f>IFERROR(INDEX(Logs!$G$2:$G$500,MATCH('Beneficiaries (13)'!$B22,Logs!$A$2:$A$500,0)),0)</f>
        <v>16</v>
      </c>
      <c r="M22" s="165">
        <v>0</v>
      </c>
      <c r="N22" s="165">
        <f>L22+M22</f>
        <v>16</v>
      </c>
      <c r="O22" s="171">
        <f>IFERROR(INDEX(Logs!$H$2:$H$500,MATCH('Beneficiaries (13)'!$B22,Logs!$A$2:$A$500,0)),)</f>
        <v>204.16</v>
      </c>
      <c r="P22" s="172">
        <f>IFERROR(N22*O22,0)</f>
        <v>3266.56</v>
      </c>
      <c r="Q22" s="173"/>
      <c r="R22" s="145" t="s"/>
    </row>
    <row r="23">
      <c r="A23" s="144" t="str">
        <f>ID_Valid(E23)</f>
      </c>
      <c r="B23" s="165">
        <v>254</v>
      </c>
      <c r="C23" s="174" t="str">
        <f>IFERROR(INDEX(Logs!$B$2:$B$500,MATCH('Beneficiaries (13)'!$B23,Logs!$A$2:$A$500,0)),"")</f>
        <v>Nompumezo</v>
      </c>
      <c r="D23" s="166" t="str">
        <f>IFERROR(INDEX(Logs!$C$2:$C$500,MATCH('Beneficiaries (13)'!$B23,Logs!$A$2:$A$500,0)),"")</f>
        <v>Jaxa</v>
      </c>
      <c r="E23" s="167" t="str">
        <f>IFERROR(INDEX(Logs!$D$2:$D$500,MATCH('Beneficiaries (13)'!$B23,Logs!$A$2:$A$500,0)),"")</f>
        <v>6407150828086</v>
      </c>
      <c r="F23" s="168" t="s">
        <v>125</v>
      </c>
      <c r="G23" s="165" t="str">
        <f>TheGender(E23)</f>
        <v>F</v>
      </c>
      <c r="H23" s="165" t="s">
        <v>125</v>
      </c>
      <c r="I23" s="165" t="s">
        <v>126</v>
      </c>
      <c r="J23" s="165" t="str">
        <f>IFERROR(INDEX(Logs!$E$2:$E$500,MATCH('Beneficiaries (13)'!$B23,Logs!$A$2:$A$500,0)),"")</f>
        <v>01/08/2023</v>
      </c>
      <c r="K23" s="165" t="str">
        <f>IFERROR(INDEX(Logs!$F$2:$F$500,MATCH('Beneficiaries (13)'!$B23,Logs!$A$2:$A$500,0)),"")</f>
        <v>30/06/2024</v>
      </c>
      <c r="L23" s="165">
        <f>IFERROR(INDEX(Logs!$G$2:$G$500,MATCH('Beneficiaries (13)'!$B23,Logs!$A$2:$A$500,0)),0)</f>
        <v>16</v>
      </c>
      <c r="M23" s="165">
        <v>0</v>
      </c>
      <c r="N23" s="165">
        <f>L23+M23</f>
        <v>16</v>
      </c>
      <c r="O23" s="171">
        <f>IFERROR(INDEX(Logs!$H$2:$H$500,MATCH('Beneficiaries (13)'!$B23,Logs!$A$2:$A$500,0)),)</f>
        <v>204.16</v>
      </c>
      <c r="P23" s="172">
        <f>IFERROR(N23*O23,0)</f>
        <v>3266.56</v>
      </c>
      <c r="Q23" s="173"/>
      <c r="R23" s="145" t="s"/>
    </row>
    <row r="24">
      <c r="A24" s="144" t="str">
        <f>ID_Valid(E24)</f>
      </c>
      <c r="B24" s="165">
        <v>255</v>
      </c>
      <c r="C24" s="174" t="str">
        <f>IFERROR(INDEX(Logs!$B$2:$B$500,MATCH('Beneficiaries (13)'!$B24,Logs!$A$2:$A$500,0)),"")</f>
        <v>Thelela</v>
      </c>
      <c r="D24" s="166" t="str">
        <f>IFERROR(INDEX(Logs!$C$2:$C$500,MATCH('Beneficiaries (13)'!$B24,Logs!$A$2:$A$500,0)),"")</f>
        <v>Kostawuli</v>
      </c>
      <c r="E24" s="167" t="str">
        <f>IFERROR(INDEX(Logs!$D$2:$D$500,MATCH('Beneficiaries (13)'!$B24,Logs!$A$2:$A$500,0)),"")</f>
        <v>8101090751080</v>
      </c>
      <c r="F24" s="168" t="s">
        <v>125</v>
      </c>
      <c r="G24" s="165" t="str">
        <f>TheGender(E24)</f>
        <v>F</v>
      </c>
      <c r="H24" s="165" t="s">
        <v>125</v>
      </c>
      <c r="I24" s="165" t="s">
        <v>126</v>
      </c>
      <c r="J24" s="165" t="str">
        <f>IFERROR(INDEX(Logs!$E$2:$E$500,MATCH('Beneficiaries (13)'!$B24,Logs!$A$2:$A$500,0)),"")</f>
        <v>01/08/2023</v>
      </c>
      <c r="K24" s="165" t="str">
        <f>IFERROR(INDEX(Logs!$F$2:$F$500,MATCH('Beneficiaries (13)'!$B24,Logs!$A$2:$A$500,0)),"")</f>
        <v>30/06/2024</v>
      </c>
      <c r="L24" s="165">
        <f>IFERROR(INDEX(Logs!$G$2:$G$500,MATCH('Beneficiaries (13)'!$B24,Logs!$A$2:$A$500,0)),0)</f>
        <v>16</v>
      </c>
      <c r="M24" s="165">
        <v>0</v>
      </c>
      <c r="N24" s="165">
        <f>L24+M24</f>
        <v>16</v>
      </c>
      <c r="O24" s="171">
        <f>IFERROR(INDEX(Logs!$H$2:$H$500,MATCH('Beneficiaries (13)'!$B24,Logs!$A$2:$A$500,0)),)</f>
        <v>204.16</v>
      </c>
      <c r="P24" s="172">
        <f>IFERROR(N24*O24,0)</f>
        <v>3266.56</v>
      </c>
      <c r="Q24" s="173"/>
      <c r="R24" s="145" t="s"/>
    </row>
    <row r="25">
      <c r="A25" s="144" t="str">
        <f>ID_Valid(E25)</f>
      </c>
      <c r="B25" s="165">
        <v>256</v>
      </c>
      <c r="C25" s="170" t="str">
        <f>IFERROR(INDEX(Logs!$B$2:$B$500,MATCH('Beneficiaries (13)'!$B25,Logs!$A$2:$A$500,0)),"")</f>
        <v>Thumeka</v>
      </c>
      <c r="D25" s="166" t="str">
        <f>IFERROR(INDEX(Logs!$C$2:$C$500,MATCH('Beneficiaries (13)'!$B25,Logs!$A$2:$A$500,0)),"")</f>
        <v>Gcora</v>
      </c>
      <c r="E25" s="167" t="str">
        <f>IFERROR(INDEX(Logs!$D$2:$D$500,MATCH('Beneficiaries (13)'!$B25,Logs!$A$2:$A$500,0)),"")</f>
        <v>7501101287084</v>
      </c>
      <c r="F25" s="168" t="s">
        <v>125</v>
      </c>
      <c r="G25" s="165" t="str">
        <f>TheGender(E25)</f>
        <v>F</v>
      </c>
      <c r="H25" s="165" t="s">
        <v>125</v>
      </c>
      <c r="I25" s="165" t="s">
        <v>126</v>
      </c>
      <c r="J25" s="165" t="str">
        <f>IFERROR(INDEX(Logs!$E$2:$E$500,MATCH('Beneficiaries (13)'!$B25,Logs!$A$2:$A$500,0)),"")</f>
        <v>01/08/2023</v>
      </c>
      <c r="K25" s="165" t="str">
        <f>IFERROR(INDEX(Logs!$F$2:$F$500,MATCH('Beneficiaries (13)'!$B25,Logs!$A$2:$A$500,0)),"")</f>
        <v>30/06/2024</v>
      </c>
      <c r="L25" s="165">
        <f>IFERROR(INDEX(Logs!$G$2:$G$500,MATCH('Beneficiaries (13)'!$B25,Logs!$A$2:$A$500,0)),0)</f>
        <v>16</v>
      </c>
      <c r="M25" s="165">
        <v>0</v>
      </c>
      <c r="N25" s="165">
        <f>L25+M25</f>
        <v>16</v>
      </c>
      <c r="O25" s="171">
        <f>IFERROR(INDEX(Logs!$H$2:$H$500,MATCH('Beneficiaries (13)'!$B25,Logs!$A$2:$A$500,0)),)</f>
        <v>204.16</v>
      </c>
      <c r="P25" s="172">
        <f>IFERROR(N25*O25,0)</f>
        <v>3266.56</v>
      </c>
      <c r="Q25" s="173"/>
      <c r="R25" s="145" t="s"/>
    </row>
    <row r="26">
      <c r="A26" s="144" t="str">
        <f>ID_Valid(E26)</f>
      </c>
      <c r="B26" s="165">
        <v>257</v>
      </c>
      <c r="C26" s="170" t="str">
        <f>IFERROR(INDEX(Logs!$B$2:$B$500,MATCH('Beneficiaries (13)'!$B26,Logs!$A$2:$A$500,0)),"")</f>
        <v>Nomfuneko</v>
      </c>
      <c r="D26" s="166" t="str">
        <f>IFERROR(INDEX(Logs!$C$2:$C$500,MATCH('Beneficiaries (13)'!$B26,Logs!$A$2:$A$500,0)),"")</f>
        <v>Nake</v>
      </c>
      <c r="E26" s="167" t="str">
        <f>IFERROR(INDEX(Logs!$D$2:$D$500,MATCH('Beneficiaries (13)'!$B26,Logs!$A$2:$A$500,0)),"")</f>
        <v>7908080699082</v>
      </c>
      <c r="F26" s="168" t="s">
        <v>125</v>
      </c>
      <c r="G26" s="165" t="str">
        <f>TheGender(E26)</f>
        <v>F</v>
      </c>
      <c r="H26" s="165" t="s">
        <v>125</v>
      </c>
      <c r="I26" s="165" t="s">
        <v>126</v>
      </c>
      <c r="J26" s="165" t="str">
        <f>IFERROR(INDEX(Logs!$E$2:$E$500,MATCH('Beneficiaries (13)'!$B26,Logs!$A$2:$A$500,0)),"")</f>
        <v>01/08/2023</v>
      </c>
      <c r="K26" s="165" t="str">
        <f>IFERROR(INDEX(Logs!$F$2:$F$500,MATCH('Beneficiaries (13)'!$B26,Logs!$A$2:$A$500,0)),"")</f>
        <v>30/06/2024</v>
      </c>
      <c r="L26" s="165">
        <f>IFERROR(INDEX(Logs!$G$2:$G$500,MATCH('Beneficiaries (13)'!$B26,Logs!$A$2:$A$500,0)),0)</f>
        <v>16</v>
      </c>
      <c r="M26" s="165">
        <v>0</v>
      </c>
      <c r="N26" s="165">
        <f>L26+M26</f>
        <v>16</v>
      </c>
      <c r="O26" s="171">
        <f>IFERROR(INDEX(Logs!$H$2:$H$500,MATCH('Beneficiaries (13)'!$B26,Logs!$A$2:$A$500,0)),)</f>
        <v>204.16</v>
      </c>
      <c r="P26" s="172">
        <f>IFERROR(N26*O26,0)</f>
        <v>3266.56</v>
      </c>
      <c r="Q26" s="173"/>
      <c r="R26" s="145" t="s"/>
    </row>
    <row r="27">
      <c r="A27" s="144" t="str">
        <f>ID_Valid(E27)</f>
      </c>
      <c r="B27" s="165">
        <v>258</v>
      </c>
      <c r="C27" s="170" t="str">
        <f>IFERROR(INDEX(Logs!$B$2:$B$500,MATCH('Beneficiaries (13)'!$B27,Logs!$A$2:$A$500,0)),"")</f>
        <v>Athi</v>
      </c>
      <c r="D27" s="166" t="str">
        <f>IFERROR(INDEX(Logs!$C$2:$C$500,MATCH('Beneficiaries (13)'!$B27,Logs!$A$2:$A$500,0)),"")</f>
        <v>Mandi</v>
      </c>
      <c r="E27" s="167" t="str">
        <f>IFERROR(INDEX(Logs!$D$2:$D$500,MATCH('Beneficiaries (13)'!$B27,Logs!$A$2:$A$500,0)),"")</f>
        <v>8910151284082</v>
      </c>
      <c r="F27" s="168" t="s">
        <v>125</v>
      </c>
      <c r="G27" s="165" t="str">
        <f>TheGender(E27)</f>
        <v>F</v>
      </c>
      <c r="H27" s="165" t="s">
        <v>125</v>
      </c>
      <c r="I27" s="165" t="s">
        <v>126</v>
      </c>
      <c r="J27" s="165" t="str">
        <f>IFERROR(INDEX(Logs!$E$2:$E$500,MATCH('Beneficiaries (13)'!$B27,Logs!$A$2:$A$500,0)),"")</f>
        <v>01/08/2023</v>
      </c>
      <c r="K27" s="165" t="str">
        <f>IFERROR(INDEX(Logs!$F$2:$F$500,MATCH('Beneficiaries (13)'!$B27,Logs!$A$2:$A$500,0)),"")</f>
        <v>30/06/2024</v>
      </c>
      <c r="L27" s="165">
        <f>IFERROR(INDEX(Logs!$G$2:$G$500,MATCH('Beneficiaries (13)'!$B27,Logs!$A$2:$A$500,0)),0)</f>
        <v>16</v>
      </c>
      <c r="M27" s="165">
        <v>0</v>
      </c>
      <c r="N27" s="165">
        <f>L27+M27</f>
        <v>16</v>
      </c>
      <c r="O27" s="171">
        <f>IFERROR(INDEX(Logs!$H$2:$H$500,MATCH('Beneficiaries (13)'!$B27,Logs!$A$2:$A$500,0)),)</f>
        <v>204.16</v>
      </c>
      <c r="P27" s="172">
        <f>IFERROR(N27*O27,0)</f>
        <v>3266.56</v>
      </c>
      <c r="Q27" s="173"/>
      <c r="R27" s="145" t="s"/>
    </row>
    <row r="28">
      <c r="A28" s="144" t="str">
        <f>ID_Valid(E28)</f>
      </c>
      <c r="B28" s="165">
        <v>259</v>
      </c>
      <c r="C28" s="170" t="str">
        <f>IFERROR(INDEX(Logs!$B$2:$B$500,MATCH('Beneficiaries (13)'!$B28,Logs!$A$2:$A$500,0)),"")</f>
        <v>Thembakazi</v>
      </c>
      <c r="D28" s="166" t="str">
        <f>IFERROR(INDEX(Logs!$C$2:$C$500,MATCH('Beneficiaries (13)'!$B28,Logs!$A$2:$A$500,0)),"")</f>
        <v>Hiliza</v>
      </c>
      <c r="E28" s="167" t="str">
        <f>IFERROR(INDEX(Logs!$D$2:$D$500,MATCH('Beneficiaries (13)'!$B28,Logs!$A$2:$A$500,0)),"")</f>
        <v>8610111027080</v>
      </c>
      <c r="F28" s="168" t="s">
        <v>125</v>
      </c>
      <c r="G28" s="165" t="str">
        <f>TheGender(E28)</f>
        <v>F</v>
      </c>
      <c r="H28" s="165" t="s">
        <v>125</v>
      </c>
      <c r="I28" s="165" t="s">
        <v>126</v>
      </c>
      <c r="J28" s="165" t="str">
        <f>IFERROR(INDEX(Logs!$E$2:$E$500,MATCH('Beneficiaries (13)'!$B28,Logs!$A$2:$A$500,0)),"")</f>
        <v>01/08/2023</v>
      </c>
      <c r="K28" s="165" t="str">
        <f>IFERROR(INDEX(Logs!$F$2:$F$500,MATCH('Beneficiaries (13)'!$B28,Logs!$A$2:$A$500,0)),"")</f>
        <v>30/06/2024</v>
      </c>
      <c r="L28" s="165">
        <f>IFERROR(INDEX(Logs!$G$2:$G$500,MATCH('Beneficiaries (13)'!$B28,Logs!$A$2:$A$500,0)),0)</f>
        <v>16</v>
      </c>
      <c r="M28" s="165">
        <v>0</v>
      </c>
      <c r="N28" s="165">
        <f>L28+M28</f>
        <v>16</v>
      </c>
      <c r="O28" s="171">
        <f>IFERROR(INDEX(Logs!$H$2:$H$500,MATCH('Beneficiaries (13)'!$B28,Logs!$A$2:$A$500,0)),)</f>
        <v>204.16</v>
      </c>
      <c r="P28" s="172">
        <f>IFERROR(N28*O28,0)</f>
        <v>3266.56</v>
      </c>
      <c r="Q28" s="173"/>
      <c r="R28" s="145" t="s"/>
    </row>
    <row r="29">
      <c r="A29" s="144" t="str">
        <f>ID_Valid(E29)</f>
      </c>
      <c r="B29" s="165">
        <v>260</v>
      </c>
      <c r="C29" s="170" t="str">
        <f>IFERROR(INDEX(Logs!$B$2:$B$500,MATCH('Beneficiaries (13)'!$B29,Logs!$A$2:$A$500,0)),"")</f>
        <v>Nokuzula</v>
      </c>
      <c r="D29" s="170" t="str">
        <f>IFERROR(INDEX(Logs!$C$2:$C$500,MATCH('Beneficiaries (13)'!$B29,Logs!$A$2:$A$500,0)),"")</f>
        <v>Qolo</v>
      </c>
      <c r="E29" s="167" t="str">
        <f>IFERROR(INDEX(Logs!$D$2:$D$500,MATCH('Beneficiaries (13)'!$B29,Logs!$A$2:$A$500,0)),"")</f>
        <v>7204051153089</v>
      </c>
      <c r="F29" s="168" t="s">
        <v>125</v>
      </c>
      <c r="G29" s="165" t="str">
        <f>TheGender(E29)</f>
        <v>F</v>
      </c>
      <c r="H29" s="165" t="s">
        <v>125</v>
      </c>
      <c r="I29" s="165" t="s">
        <v>126</v>
      </c>
      <c r="J29" s="165" t="str">
        <f>IFERROR(INDEX(Logs!$E$2:$E$500,MATCH('Beneficiaries (13)'!$B29,Logs!$A$2:$A$500,0)),"")</f>
        <v>01/08/2023</v>
      </c>
      <c r="K29" s="165" t="str">
        <f>IFERROR(INDEX(Logs!$F$2:$F$500,MATCH('Beneficiaries (13)'!$B29,Logs!$A$2:$A$500,0)),"")</f>
        <v>30/06/2024</v>
      </c>
      <c r="L29" s="165">
        <f>IFERROR(INDEX(Logs!$G$2:$G$500,MATCH('Beneficiaries (13)'!$B29,Logs!$A$2:$A$500,0)),0)</f>
        <v>16</v>
      </c>
      <c r="M29" s="165">
        <v>0</v>
      </c>
      <c r="N29" s="165">
        <f>L29+M29</f>
        <v>16</v>
      </c>
      <c r="O29" s="171">
        <f>IFERROR(INDEX(Logs!$H$2:$H$500,MATCH('Beneficiaries (13)'!$B29,Logs!$A$2:$A$500,0)),)</f>
        <v>204.16</v>
      </c>
      <c r="P29" s="172">
        <f>IFERROR(N29*O29,0)</f>
        <v>3266.56</v>
      </c>
      <c r="Q29" s="173"/>
      <c r="R29" s="145" t="s"/>
    </row>
    <row r="30">
      <c r="A30" s="144" t="s"/>
      <c r="B30" s="175"/>
      <c r="C30" s="175"/>
      <c r="D30" s="175"/>
      <c r="E30" s="175"/>
      <c r="F30" s="175"/>
      <c r="G30" s="175"/>
      <c r="H30" s="175"/>
      <c r="I30" s="175"/>
      <c r="J30" s="175"/>
      <c r="K30" s="175"/>
      <c r="L30" s="176">
        <f>SUM(L10:L29)</f>
        <v>320</v>
      </c>
      <c r="M30" s="176">
        <f>SUM(M10:M29)</f>
        <v>0</v>
      </c>
      <c r="N30" s="176">
        <f>SUM(N10:N29)</f>
        <v>320</v>
      </c>
      <c r="O30" s="177">
        <f>SUM(O10:O29)</f>
        <v>4111.0399999999991</v>
      </c>
      <c r="P30" s="178">
        <f>SUM(P10:P29)</f>
        <v>65776.639999999985</v>
      </c>
      <c r="Q30" s="179"/>
      <c r="R30" s="145" t="s"/>
    </row>
    <row r="31" ht="27" customHeight="true">
      <c r="A31" s="144" t="s"/>
      <c r="B31" s="180" t="s">
        <v>127</v>
      </c>
      <c r="C31" s="180"/>
      <c r="D31" s="181" t="s">
        <v>128</v>
      </c>
      <c r="E31" s="153" t="str">
        <f>Project!$G$30</f>
        <v>Benjamin Milandou-Loubeka</v>
      </c>
      <c r="F31" s="153"/>
      <c r="G31" s="153"/>
      <c r="H31" s="153" t="s">
        <v>129</v>
      </c>
      <c r="I31" s="157"/>
      <c r="J31" s="157"/>
      <c r="K31" s="157"/>
      <c r="L31" s="157"/>
      <c r="M31" s="157"/>
      <c r="N31" s="157"/>
      <c r="O31" s="157"/>
      <c r="P31" s="157"/>
      <c r="Q31" s="14"/>
      <c r="R31" s="145" t="s"/>
    </row>
    <row r="32" ht="27" customHeight="true">
      <c r="A32" s="144" t="s"/>
      <c r="B32" s="180"/>
      <c r="C32" s="180"/>
      <c r="D32" s="181" t="s">
        <v>130</v>
      </c>
      <c r="E32" s="182">
        <f>Project!$AN$1</f>
        <v>45199</v>
      </c>
      <c r="F32" s="182"/>
      <c r="G32" s="182"/>
      <c r="H32" s="153"/>
      <c r="I32" s="157"/>
      <c r="J32" s="157"/>
      <c r="K32" s="157"/>
      <c r="L32" s="157"/>
      <c r="M32" s="157"/>
      <c r="N32" s="157"/>
      <c r="O32" s="157"/>
      <c r="P32" s="157"/>
      <c r="Q32" s="14"/>
      <c r="R32" s="145" t="s"/>
    </row>
    <row r="33" ht="14.25" customHeight="true">
      <c r="A33" s="144" t="s"/>
      <c r="B33" s="158"/>
      <c r="C33" s="158"/>
      <c r="D33" s="183"/>
      <c r="E33" s="14"/>
      <c r="F33" s="14"/>
      <c r="G33" s="14"/>
      <c r="H33" s="148"/>
      <c r="I33" s="14"/>
      <c r="J33" s="14"/>
      <c r="K33" s="14"/>
      <c r="L33" s="14"/>
      <c r="M33" s="14"/>
      <c r="N33" s="14"/>
      <c r="O33" s="14"/>
      <c r="P33" s="14"/>
      <c r="Q33" s="14"/>
    </row>
    <row r="34" ht="27" customHeight="true">
      <c r="A34" s="144" t="s"/>
      <c r="B34" s="180" t="s">
        <v>131</v>
      </c>
      <c r="C34" s="180"/>
      <c r="D34" s="181" t="s">
        <v>128</v>
      </c>
      <c r="E34" s="157"/>
      <c r="F34" s="157"/>
      <c r="G34" s="157"/>
      <c r="H34" s="153" t="s">
        <v>129</v>
      </c>
      <c r="I34" s="157"/>
      <c r="J34" s="157"/>
      <c r="K34" s="157"/>
      <c r="L34" s="157"/>
      <c r="M34" s="157"/>
      <c r="N34" s="157"/>
      <c r="O34" s="157"/>
      <c r="P34" s="157"/>
      <c r="Q34" s="14"/>
    </row>
    <row r="35" ht="27" customHeight="true">
      <c r="A35" s="144" t="s"/>
      <c r="B35" s="180"/>
      <c r="C35" s="180"/>
      <c r="D35" s="181" t="s">
        <v>130</v>
      </c>
      <c r="E35" s="157"/>
      <c r="F35" s="157"/>
      <c r="G35" s="157"/>
      <c r="H35" s="153"/>
      <c r="I35" s="157"/>
      <c r="J35" s="157"/>
      <c r="K35" s="157"/>
      <c r="L35" s="157"/>
      <c r="M35" s="157"/>
      <c r="N35" s="157"/>
      <c r="O35" s="157"/>
      <c r="P35" s="157"/>
      <c r="Q35" s="14"/>
    </row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>
      <c r="A74" s="144" t="s"/>
      <c r="B74" s="14"/>
    </row>
  </sheetData>
  <dataValidations count="1">
    <dataValidation allowBlank="true" showInputMessage="true" showErrorMessage="true" promptTitle="Month" type="" sqref="I6">
      <formula1/>
    </dataValidation>
  </dataValidations>
  <mergeCells count="14">
    <mergeCell ref="B3:P3"/>
    <mergeCell ref="B5:C6"/>
    <mergeCell ref="D5:E6"/>
    <mergeCell ref="K5:M5"/>
    <mergeCell ref="B31:C32"/>
    <mergeCell ref="E31:G31"/>
    <mergeCell ref="H31:H32"/>
    <mergeCell ref="I31:P32"/>
    <mergeCell ref="E32:G32"/>
    <mergeCell ref="B34:C35"/>
    <mergeCell ref="E34:G34"/>
    <mergeCell ref="H34:H35"/>
    <mergeCell ref="I34:P35"/>
    <mergeCell ref="E35:G35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15.xml><?xml version="1.0" encoding="utf-8"?>
<worksheet xmlns="http://schemas.openxmlformats.org/spreadsheetml/2006/main">
  <sheetPr filterMode="false">
    <pageSetUpPr fitToPage="false"/>
  </sheetPr>
  <dimension ref="A1:R74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85546875" defaultRowHeight="12.75"/>
  <cols>
    <col collapsed="false" hidden="false" max="1" min="1" style="144" width="20.7109375" customWidth="true"/>
    <col collapsed="false" hidden="false" max="2" min="2" style="1" width="4.42578125" customWidth="true"/>
    <col collapsed="false" hidden="false" max="5" min="3" style="1" width="24.42578125" customWidth="true"/>
    <col collapsed="false" hidden="false" max="5" min="3" style="1" width="24.42578125" customWidth="true"/>
    <col collapsed="false" hidden="false" max="5" min="3" style="1" width="24.42578125" customWidth="true"/>
    <col collapsed="false" hidden="false" max="6" min="6" style="1" width="10.140625" customWidth="true"/>
    <col collapsed="false" hidden="false" max="9" min="7" style="1" width="8.85546875" customWidth="true"/>
    <col collapsed="false" hidden="false" max="9" min="7" style="1" width="8.85546875" customWidth="true"/>
    <col collapsed="false" hidden="false" max="9" min="7" style="1" width="8.85546875" customWidth="true"/>
    <col collapsed="false" hidden="false" max="11" min="10" style="1" width="10.140625" customWidth="true"/>
    <col collapsed="false" hidden="false" max="11" min="10" style="1" width="10.14062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7" min="16" style="1" width="14.5703125" customWidth="true"/>
    <col collapsed="false" hidden="false" max="17" min="16" style="1" width="14.5703125" customWidth="true"/>
    <col collapsed="false" hidden="false" max="18" min="18" style="145" width="8.85546875" customWidth="true"/>
  </cols>
  <sheetData>
    <row r="1">
      <c r="A1" s="144" t="s"/>
      <c r="B1" s="146" t="s">
        <v>96</v>
      </c>
      <c r="C1" s="2"/>
      <c r="D1" s="2"/>
      <c r="E1" s="147" t="s">
        <v>2</v>
      </c>
      <c r="F1" s="1" t="s"/>
      <c r="G1" s="2"/>
      <c r="H1" s="2"/>
      <c r="I1" s="2"/>
      <c r="J1" s="1" t="s"/>
      <c r="K1" s="1" t="s"/>
      <c r="L1" s="1" t="s"/>
      <c r="M1" s="1" t="s"/>
      <c r="N1" s="1" t="s"/>
      <c r="O1" s="1" t="s"/>
      <c r="P1" s="1" t="s"/>
      <c r="Q1" s="1" t="s"/>
      <c r="R1" s="11">
        <f>IF(Beneficiaries!$P$30&gt;0,1,"")</f>
        <v>1</v>
      </c>
    </row>
    <row r="2">
      <c r="A2" s="144" t="s"/>
      <c r="B2" s="1" t="s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11">
        <f>IF('Beneficiaries (2)'!$P$30&gt;0,1,"")</f>
        <v>1</v>
      </c>
    </row>
    <row r="3">
      <c r="A3" s="144" t="s"/>
      <c r="B3" s="148" t="s">
        <v>97</v>
      </c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1">
        <f>IF('Beneficiaries (3)'!$P$30&gt;0,1,"")</f>
        <v>1</v>
      </c>
    </row>
    <row r="4">
      <c r="A4" s="144" t="s"/>
      <c r="B4" s="1" t="s"/>
      <c r="C4" s="146"/>
      <c r="D4" s="146"/>
      <c r="E4" s="146"/>
      <c r="F4" s="146"/>
      <c r="G4" s="146"/>
      <c r="H4" s="1" t="s"/>
      <c r="I4" s="1" t="s"/>
      <c r="J4" s="1" t="s"/>
      <c r="K4" s="1" t="s"/>
      <c r="L4" s="1" t="s"/>
      <c r="M4" s="1" t="s"/>
      <c r="N4" s="1" t="s"/>
      <c r="O4" s="1" t="s"/>
      <c r="P4" s="1" t="s"/>
      <c r="Q4" s="1" t="s"/>
      <c r="R4" s="11">
        <f>IF('Beneficiaries (4)'!$P$30&gt;0,1,"")</f>
        <v>1</v>
      </c>
    </row>
    <row r="5" ht="12.75" customHeight="true">
      <c r="A5" s="144" t="s"/>
      <c r="B5" s="149" t="s">
        <v>98</v>
      </c>
      <c r="C5" s="150"/>
      <c r="D5" s="151" t="str">
        <f>Project!$Z$25</f>
        <v>WSDS/24/111i</v>
      </c>
      <c r="E5" s="151"/>
      <c r="F5" s="152"/>
      <c r="G5" s="1" t="s"/>
      <c r="H5" s="153" t="s">
        <v>99</v>
      </c>
      <c r="I5" s="153" t="s">
        <v>100</v>
      </c>
      <c r="J5" s="146"/>
      <c r="K5" s="154" t="s">
        <v>101</v>
      </c>
      <c r="L5" s="154"/>
      <c r="M5" s="154"/>
      <c r="N5" s="39"/>
      <c r="O5" s="39"/>
      <c r="P5" s="146"/>
      <c r="Q5" s="146"/>
      <c r="R5" s="11">
        <f>IF('Beneficiaries (5)'!$P$30&gt;0,1,"")</f>
        <v>1</v>
      </c>
    </row>
    <row r="6">
      <c r="A6" s="144" t="s"/>
      <c r="B6" s="155"/>
      <c r="C6" s="156"/>
      <c r="D6" s="151"/>
      <c r="E6" s="151"/>
      <c r="F6" s="152"/>
      <c r="G6" s="1" t="s"/>
      <c r="H6" s="109" t="str">
        <f>TEXT(Project!$AN$1,"YYYY")</f>
        <v>2023</v>
      </c>
      <c r="I6" s="109" t="str">
        <f>TEXT(Project!$AN$1,"MMMM")</f>
        <v>September</v>
      </c>
      <c r="J6" s="7"/>
      <c r="K6" s="157">
        <v>1</v>
      </c>
      <c r="L6" s="154" t="s">
        <v>102</v>
      </c>
      <c r="M6" s="154">
        <f>IF(K6&gt;0,COUNT(R1:R20),"")</f>
        <v>14</v>
      </c>
      <c r="N6" s="39"/>
      <c r="O6" s="39"/>
      <c r="P6" s="14"/>
      <c r="Q6" s="14"/>
      <c r="R6" s="11">
        <f>IF('Beneficiaries (6)'!$P$30&gt;0,1,"")</f>
        <v>1</v>
      </c>
    </row>
    <row r="7">
      <c r="A7" s="144" t="s"/>
      <c r="B7" s="158"/>
      <c r="C7" s="158"/>
      <c r="D7" s="158"/>
      <c r="E7" s="14"/>
      <c r="F7" s="14"/>
      <c r="G7" s="1" t="s"/>
      <c r="H7" s="7"/>
      <c r="I7" s="7"/>
      <c r="J7" s="7"/>
      <c r="K7" s="14"/>
      <c r="L7" s="39"/>
      <c r="M7" s="39"/>
      <c r="N7" s="39"/>
      <c r="O7" s="39"/>
      <c r="P7" s="14"/>
      <c r="Q7" s="14"/>
      <c r="R7" s="11">
        <f>IF('Beneficiaries (7)'!$P$30&gt;0,1,"")</f>
        <v>1</v>
      </c>
    </row>
    <row r="8">
      <c r="A8" s="144" t="s"/>
      <c r="B8" s="159"/>
      <c r="C8" s="160" t="s">
        <v>103</v>
      </c>
      <c r="D8" s="160" t="s">
        <v>103</v>
      </c>
      <c r="E8" s="160" t="s">
        <v>103</v>
      </c>
      <c r="F8" s="160" t="s">
        <v>104</v>
      </c>
      <c r="G8" s="159"/>
      <c r="H8" s="159"/>
      <c r="I8" s="160" t="s">
        <v>105</v>
      </c>
      <c r="J8" s="159"/>
      <c r="K8" s="160" t="s">
        <v>106</v>
      </c>
      <c r="L8" s="160" t="s">
        <v>107</v>
      </c>
      <c r="M8" s="160" t="s">
        <v>108</v>
      </c>
      <c r="N8" s="160"/>
      <c r="O8" s="160" t="s">
        <v>109</v>
      </c>
      <c r="P8" s="160"/>
      <c r="Q8" s="161"/>
      <c r="R8" s="11">
        <f>IF('Beneficiaries (8)'!$P$30&gt;0,1,"")</f>
        <v>1</v>
      </c>
    </row>
    <row r="9">
      <c r="A9" s="144" t="s"/>
      <c r="B9" s="162" t="s">
        <v>110</v>
      </c>
      <c r="C9" s="162" t="s">
        <v>111</v>
      </c>
      <c r="D9" s="162" t="s">
        <v>112</v>
      </c>
      <c r="E9" s="162" t="s">
        <v>113</v>
      </c>
      <c r="F9" s="163" t="s">
        <v>114</v>
      </c>
      <c r="G9" s="163" t="s">
        <v>115</v>
      </c>
      <c r="H9" s="163" t="s">
        <v>116</v>
      </c>
      <c r="I9" s="163" t="s">
        <v>117</v>
      </c>
      <c r="J9" s="163" t="s">
        <v>118</v>
      </c>
      <c r="K9" s="163" t="s">
        <v>119</v>
      </c>
      <c r="L9" s="163" t="s">
        <v>120</v>
      </c>
      <c r="M9" s="163" t="s">
        <v>121</v>
      </c>
      <c r="N9" s="163" t="s">
        <v>122</v>
      </c>
      <c r="O9" s="163" t="s">
        <v>123</v>
      </c>
      <c r="P9" s="163" t="s">
        <v>124</v>
      </c>
      <c r="Q9" s="164"/>
      <c r="R9" s="11">
        <f>IF('Beneficiaries (9)'!$P$30&gt;0,1,"")</f>
        <v>1</v>
      </c>
    </row>
    <row r="10">
      <c r="A10" s="144" t="str">
        <f>ID_Valid(E10)</f>
      </c>
      <c r="B10" s="165">
        <v>261</v>
      </c>
      <c r="C10" s="166" t="str">
        <f>IFERROR(INDEX(Logs!$B$2:$B$500,MATCH('Beneficiaries (14)'!$B10,Logs!$A$2:$A$500,0)),"")</f>
        <v>Nomatamsanqa</v>
      </c>
      <c r="D10" s="166" t="str">
        <f>IFERROR(INDEX(Logs!$C$2:$C$500,MATCH('Beneficiaries (14)'!$B10,Logs!$A$2:$A$500,0)),"")</f>
        <v>Matebeni</v>
      </c>
      <c r="E10" s="167" t="str">
        <f>IFERROR(INDEX(Logs!$D$2:$D$500,MATCH('Beneficiaries (14)'!$B10,Logs!$A$2:$A$500,0)),"")</f>
        <v>7101140688085</v>
      </c>
      <c r="F10" s="168" t="s">
        <v>125</v>
      </c>
      <c r="G10" s="165" t="str">
        <f>TheGender(E10)</f>
        <v>F</v>
      </c>
      <c r="H10" s="165" t="s">
        <v>125</v>
      </c>
      <c r="I10" s="169" t="s">
        <v>126</v>
      </c>
      <c r="J10" s="170" t="str">
        <f>IFERROR(INDEX(Logs!$E$2:$E$500,MATCH('Beneficiaries (14)'!$B10,Logs!$A$2:$A$500,0)),"")</f>
        <v>21/08/2023</v>
      </c>
      <c r="K10" s="170" t="str">
        <f>IFERROR(INDEX(Logs!$F$2:$F$500,MATCH('Beneficiaries (14)'!$B10,Logs!$A$2:$A$500,0)),"")</f>
        <v>30/06/2024</v>
      </c>
      <c r="L10" s="165">
        <f>IFERROR(INDEX(Logs!$G$2:$G$500,MATCH('Beneficiaries (14)'!$B10,Logs!$A$2:$A$500,0)),0)</f>
        <v>22</v>
      </c>
      <c r="M10" s="165">
        <v>0</v>
      </c>
      <c r="N10" s="165">
        <f>M10+L10</f>
        <v>22</v>
      </c>
      <c r="O10" s="171">
        <f>IFERROR(INDEX(Logs!$H$2:$H$500,MATCH('Beneficiaries (14)'!$B10,Logs!$A$2:$A$500,0)),)</f>
        <v>204.16</v>
      </c>
      <c r="P10" s="172">
        <f>IFERROR(N10*O10,0)</f>
        <v>4491.5199999999995</v>
      </c>
      <c r="Q10" s="173"/>
      <c r="R10" s="11">
        <f>IF('Beneficiaries (10)'!$P$30&gt;0,1,"")</f>
        <v>1</v>
      </c>
    </row>
    <row r="11">
      <c r="A11" s="144" t="str">
        <f>ID_Valid(E11)</f>
        <v>INVALID ID - Check Digit</v>
      </c>
      <c r="B11" s="165">
        <v>262</v>
      </c>
      <c r="C11" s="166" t="str">
        <f>IFERROR(INDEX(Logs!$B$2:$B$500,MATCH('Beneficiaries (14)'!$B11,Logs!$A$2:$A$500,0)),"")</f>
        <v>Phumla</v>
      </c>
      <c r="D11" s="166" t="str">
        <f>IFERROR(INDEX(Logs!$C$2:$C$500,MATCH('Beneficiaries (14)'!$B11,Logs!$A$2:$A$500,0)),"")</f>
        <v>Valashiya</v>
      </c>
      <c r="E11" s="167" t="str">
        <f>IFERROR(INDEX(Logs!$D$2:$D$500,MATCH('Beneficiaries (14)'!$B11,Logs!$A$2:$A$500,0)),"")</f>
        <v>91112101224081</v>
      </c>
      <c r="F11" s="168" t="s">
        <v>125</v>
      </c>
      <c r="G11" s="165" t="str">
        <f>TheGender(E11)</f>
      </c>
      <c r="H11" s="165" t="s">
        <v>125</v>
      </c>
      <c r="I11" s="165" t="s">
        <v>126</v>
      </c>
      <c r="J11" s="165" t="str">
        <f>IFERROR(INDEX(Logs!$E$2:$E$500,MATCH('Beneficiaries (14)'!$B11,Logs!$A$2:$A$500,0)),"")</f>
        <v>21/08/2023</v>
      </c>
      <c r="K11" s="165" t="str">
        <f>IFERROR(INDEX(Logs!$F$2:$F$500,MATCH('Beneficiaries (14)'!$B11,Logs!$A$2:$A$500,0)),"")</f>
        <v>30/06/2024</v>
      </c>
      <c r="L11" s="165">
        <f>IFERROR(INDEX(Logs!$G$2:$G$500,MATCH('Beneficiaries (14)'!$B11,Logs!$A$2:$A$500,0)),0)</f>
        <v>22</v>
      </c>
      <c r="M11" s="165">
        <v>0</v>
      </c>
      <c r="N11" s="165">
        <f>L11+M11</f>
        <v>22</v>
      </c>
      <c r="O11" s="171">
        <f>IFERROR(INDEX(Logs!$H$2:$H$500,MATCH('Beneficiaries (14)'!$B11,Logs!$A$2:$A$500,0)),)</f>
        <v>204.16</v>
      </c>
      <c r="P11" s="172">
        <f>IFERROR(N11*O11,0)</f>
        <v>4491.5199999999995</v>
      </c>
      <c r="Q11" s="173"/>
      <c r="R11" s="11">
        <f>IF('Beneficiaries (11)'!$P$30&gt;0,1,"")</f>
        <v>1</v>
      </c>
    </row>
    <row r="12">
      <c r="A12" s="144" t="str">
        <f>ID_Valid(E12)</f>
      </c>
      <c r="B12" s="165">
        <v>263</v>
      </c>
      <c r="C12" s="166" t="str">
        <f>IFERROR(INDEX(Logs!$B$2:$B$500,MATCH('Beneficiaries (14)'!$B12,Logs!$A$2:$A$500,0)),"")</f>
        <v>Xolisa</v>
      </c>
      <c r="D12" s="166" t="str">
        <f>IFERROR(INDEX(Logs!$C$2:$C$500,MATCH('Beneficiaries (14)'!$B12,Logs!$A$2:$A$500,0)),"")</f>
        <v>Mninzi</v>
      </c>
      <c r="E12" s="167" t="str">
        <f>IFERROR(INDEX(Logs!$D$2:$D$500,MATCH('Beneficiaries (14)'!$B12,Logs!$A$2:$A$500,0)),"")</f>
        <v>9011275727087</v>
      </c>
      <c r="F12" s="168" t="s">
        <v>125</v>
      </c>
      <c r="G12" s="165" t="str">
        <f>TheGender(E12)</f>
        <v>M</v>
      </c>
      <c r="H12" s="165" t="s">
        <v>125</v>
      </c>
      <c r="I12" s="165" t="s">
        <v>126</v>
      </c>
      <c r="J12" s="165" t="str">
        <f>IFERROR(INDEX(Logs!$E$2:$E$500,MATCH('Beneficiaries (14)'!$B12,Logs!$A$2:$A$500,0)),"")</f>
        <v>01/09/2023</v>
      </c>
      <c r="K12" s="165" t="str">
        <f>IFERROR(INDEX(Logs!$F$2:$F$500,MATCH('Beneficiaries (14)'!$B12,Logs!$A$2:$A$500,0)),"")</f>
        <v>30/06/2024</v>
      </c>
      <c r="L12" s="165">
        <f>IFERROR(INDEX(Logs!$G$2:$G$500,MATCH('Beneficiaries (14)'!$B12,Logs!$A$2:$A$500,0)),0)</f>
        <v>10</v>
      </c>
      <c r="M12" s="165">
        <v>0</v>
      </c>
      <c r="N12" s="165">
        <f>L12+M12</f>
        <v>10</v>
      </c>
      <c r="O12" s="171">
        <f>IFERROR(INDEX(Logs!$H$2:$H$500,MATCH('Beneficiaries (14)'!$B12,Logs!$A$2:$A$500,0)),)</f>
        <v>218.08</v>
      </c>
      <c r="P12" s="172">
        <f>IFERROR(N12*O12,0)</f>
        <v>2180.8000000000002</v>
      </c>
      <c r="Q12" s="173"/>
      <c r="R12" s="11">
        <f>IF('Beneficiaries (12)'!$P$30&gt;0,1,"")</f>
        <v>1</v>
      </c>
    </row>
    <row r="13">
      <c r="A13" s="144" t="str">
        <f>ID_Valid(E13)</f>
      </c>
      <c r="B13" s="165">
        <v>264</v>
      </c>
      <c r="C13" s="166" t="str">
        <f>IFERROR(INDEX(Logs!$B$2:$B$500,MATCH('Beneficiaries (14)'!$B13,Logs!$A$2:$A$500,0)),"")</f>
        <v>Nolitha</v>
      </c>
      <c r="D13" s="166" t="str">
        <f>IFERROR(INDEX(Logs!$C$2:$C$500,MATCH('Beneficiaries (14)'!$B13,Logs!$A$2:$A$500,0)),"")</f>
        <v>Mphanda</v>
      </c>
      <c r="E13" s="167" t="str">
        <f>IFERROR(INDEX(Logs!$D$2:$D$500,MATCH('Beneficiaries (14)'!$B13,Logs!$A$2:$A$500,0)),"")</f>
        <v>7605140436089</v>
      </c>
      <c r="F13" s="168" t="s">
        <v>125</v>
      </c>
      <c r="G13" s="165" t="str">
        <f>TheGender(E13)</f>
        <v>F</v>
      </c>
      <c r="H13" s="165" t="s">
        <v>125</v>
      </c>
      <c r="I13" s="165" t="s">
        <v>126</v>
      </c>
      <c r="J13" s="165" t="str">
        <f>IFERROR(INDEX(Logs!$E$2:$E$500,MATCH('Beneficiaries (14)'!$B13,Logs!$A$2:$A$500,0)),"")</f>
        <v>01/09/2023</v>
      </c>
      <c r="K13" s="165" t="str">
        <f>IFERROR(INDEX(Logs!$F$2:$F$500,MATCH('Beneficiaries (14)'!$B13,Logs!$A$2:$A$500,0)),"")</f>
        <v>30/06/2024</v>
      </c>
      <c r="L13" s="165">
        <f>IFERROR(INDEX(Logs!$G$2:$G$500,MATCH('Beneficiaries (14)'!$B13,Logs!$A$2:$A$500,0)),0)</f>
        <v>10</v>
      </c>
      <c r="M13" s="165">
        <v>0</v>
      </c>
      <c r="N13" s="165">
        <f>L13+M13</f>
        <v>10</v>
      </c>
      <c r="O13" s="171">
        <f>IFERROR(INDEX(Logs!$H$2:$H$500,MATCH('Beneficiaries (14)'!$B13,Logs!$A$2:$A$500,0)),)</f>
        <v>204.16</v>
      </c>
      <c r="P13" s="172">
        <f>IFERROR(N13*O13,0)</f>
        <v>2041.6</v>
      </c>
      <c r="Q13" s="173"/>
      <c r="R13" s="11">
        <f>IF('Beneficiaries (13)'!$P$30&gt;0,1,"")</f>
        <v>1</v>
      </c>
    </row>
    <row r="14">
      <c r="A14" s="144" t="str">
        <f>ID_Valid(E14)</f>
      </c>
      <c r="B14" s="165">
        <v>265</v>
      </c>
      <c r="C14" s="166" t="str">
        <f>IFERROR(INDEX(Logs!$B$2:$B$500,MATCH('Beneficiaries (14)'!$B14,Logs!$A$2:$A$500,0)),"")</f>
        <v>Pinki</v>
      </c>
      <c r="D14" s="166" t="str">
        <f>IFERROR(INDEX(Logs!$C$2:$C$500,MATCH('Beneficiaries (14)'!$B14,Logs!$A$2:$A$500,0)),"")</f>
        <v>Mpayipheli</v>
      </c>
      <c r="E14" s="167" t="str">
        <f>IFERROR(INDEX(Logs!$D$2:$D$500,MATCH('Beneficiaries (14)'!$B14,Logs!$A$2:$A$500,0)),"")</f>
        <v>8712261346086</v>
      </c>
      <c r="F14" s="168" t="s">
        <v>125</v>
      </c>
      <c r="G14" s="165" t="str">
        <f>TheGender(E14)</f>
        <v>F</v>
      </c>
      <c r="H14" s="165" t="s">
        <v>125</v>
      </c>
      <c r="I14" s="165" t="s">
        <v>126</v>
      </c>
      <c r="J14" s="165" t="str">
        <f>IFERROR(INDEX(Logs!$E$2:$E$500,MATCH('Beneficiaries (14)'!$B14,Logs!$A$2:$A$500,0)),"")</f>
        <v>01/09/2023</v>
      </c>
      <c r="K14" s="165" t="str">
        <f>IFERROR(INDEX(Logs!$F$2:$F$500,MATCH('Beneficiaries (14)'!$B14,Logs!$A$2:$A$500,0)),"")</f>
        <v>30/06/2024</v>
      </c>
      <c r="L14" s="165">
        <f>IFERROR(INDEX(Logs!$G$2:$G$500,MATCH('Beneficiaries (14)'!$B14,Logs!$A$2:$A$500,0)),0)</f>
        <v>10</v>
      </c>
      <c r="M14" s="165">
        <v>0</v>
      </c>
      <c r="N14" s="165">
        <f>L14+M14</f>
        <v>10</v>
      </c>
      <c r="O14" s="171">
        <f>IFERROR(INDEX(Logs!$H$2:$H$500,MATCH('Beneficiaries (14)'!$B14,Logs!$A$2:$A$500,0)),)</f>
        <v>204.16</v>
      </c>
      <c r="P14" s="172">
        <f>IFERROR(N14*O14,0)</f>
        <v>2041.6</v>
      </c>
      <c r="Q14" s="173"/>
      <c r="R14" s="11">
        <f>IF('Beneficiaries (14)'!$P$30&gt;0,1,"")</f>
        <v>1</v>
      </c>
    </row>
    <row r="15">
      <c r="A15" s="144" t="str">
        <f>ID_Valid(E15)</f>
      </c>
      <c r="B15" s="165">
        <v>266</v>
      </c>
      <c r="C15" s="166" t="str">
        <f>IFERROR(INDEX(Logs!$B$2:$B$500,MATCH('Beneficiaries (14)'!$B15,Logs!$A$2:$A$500,0)),"")</f>
        <v>Nosiphiwo</v>
      </c>
      <c r="D15" s="166" t="str">
        <f>IFERROR(INDEX(Logs!$C$2:$C$500,MATCH('Beneficiaries (14)'!$B15,Logs!$A$2:$A$500,0)),"")</f>
        <v>Yola</v>
      </c>
      <c r="E15" s="167" t="str">
        <f>IFERROR(INDEX(Logs!$D$2:$D$500,MATCH('Beneficiaries (14)'!$B15,Logs!$A$2:$A$500,0)),"")</f>
        <v>8806041026081</v>
      </c>
      <c r="F15" s="168" t="s">
        <v>125</v>
      </c>
      <c r="G15" s="165" t="str">
        <f>TheGender(E15)</f>
        <v>F</v>
      </c>
      <c r="H15" s="165" t="s">
        <v>125</v>
      </c>
      <c r="I15" s="165" t="s">
        <v>126</v>
      </c>
      <c r="J15" s="165" t="str">
        <f>IFERROR(INDEX(Logs!$E$2:$E$500,MATCH('Beneficiaries (14)'!$B15,Logs!$A$2:$A$500,0)),"")</f>
        <v>01/09/2023</v>
      </c>
      <c r="K15" s="165" t="str">
        <f>IFERROR(INDEX(Logs!$F$2:$F$500,MATCH('Beneficiaries (14)'!$B15,Logs!$A$2:$A$500,0)),"")</f>
        <v>30/06/2024</v>
      </c>
      <c r="L15" s="165">
        <f>IFERROR(INDEX(Logs!$G$2:$G$500,MATCH('Beneficiaries (14)'!$B15,Logs!$A$2:$A$500,0)),0)</f>
        <v>10</v>
      </c>
      <c r="M15" s="165">
        <v>0</v>
      </c>
      <c r="N15" s="165">
        <f>L15+M15</f>
        <v>10</v>
      </c>
      <c r="O15" s="171">
        <f>IFERROR(INDEX(Logs!$H$2:$H$500,MATCH('Beneficiaries (14)'!$B15,Logs!$A$2:$A$500,0)),)</f>
        <v>204.16</v>
      </c>
      <c r="P15" s="172">
        <f>IFERROR(N15*O15,0)</f>
        <v>2041.6</v>
      </c>
      <c r="Q15" s="173"/>
      <c r="R15" s="11"/>
    </row>
    <row r="16">
      <c r="A16" s="144" t="str">
        <f>ID_Valid(E16)</f>
      </c>
      <c r="B16" s="165">
        <v>267</v>
      </c>
      <c r="C16" s="166" t="str">
        <f>IFERROR(INDEX(Logs!$B$2:$B$500,MATCH('Beneficiaries (14)'!$B16,Logs!$A$2:$A$500,0)),"")</f>
        <v>Nokulunga</v>
      </c>
      <c r="D16" s="166" t="str">
        <f>IFERROR(INDEX(Logs!$C$2:$C$500,MATCH('Beneficiaries (14)'!$B16,Logs!$A$2:$A$500,0)),"")</f>
        <v>Tswina</v>
      </c>
      <c r="E16" s="167" t="str">
        <f>IFERROR(INDEX(Logs!$D$2:$D$500,MATCH('Beneficiaries (14)'!$B16,Logs!$A$2:$A$500,0)),"")</f>
        <v>8308210399084</v>
      </c>
      <c r="F16" s="168" t="s">
        <v>125</v>
      </c>
      <c r="G16" s="165" t="str">
        <f>TheGender(E16)</f>
        <v>F</v>
      </c>
      <c r="H16" s="165" t="s">
        <v>125</v>
      </c>
      <c r="I16" s="165" t="s">
        <v>126</v>
      </c>
      <c r="J16" s="165" t="str">
        <f>IFERROR(INDEX(Logs!$E$2:$E$500,MATCH('Beneficiaries (14)'!$B16,Logs!$A$2:$A$500,0)),"")</f>
        <v>01/09/2023</v>
      </c>
      <c r="K16" s="165" t="str">
        <f>IFERROR(INDEX(Logs!$F$2:$F$500,MATCH('Beneficiaries (14)'!$B16,Logs!$A$2:$A$500,0)),"")</f>
        <v>30/06/2024</v>
      </c>
      <c r="L16" s="165">
        <f>IFERROR(INDEX(Logs!$G$2:$G$500,MATCH('Beneficiaries (14)'!$B16,Logs!$A$2:$A$500,0)),0)</f>
        <v>10</v>
      </c>
      <c r="M16" s="165">
        <v>0</v>
      </c>
      <c r="N16" s="165">
        <f>L16+M16</f>
        <v>10</v>
      </c>
      <c r="O16" s="171">
        <f>IFERROR(INDEX(Logs!$H$2:$H$500,MATCH('Beneficiaries (14)'!$B16,Logs!$A$2:$A$500,0)),)</f>
        <v>204.16</v>
      </c>
      <c r="P16" s="172">
        <f>IFERROR(N16*O16,0)</f>
        <v>2041.6</v>
      </c>
      <c r="Q16" s="173"/>
      <c r="R16" s="11"/>
    </row>
    <row r="17">
      <c r="A17" s="144" t="str">
        <f>ID_Valid(E17)</f>
      </c>
      <c r="B17" s="165">
        <v>268</v>
      </c>
      <c r="C17" s="166" t="str">
        <f>IFERROR(INDEX(Logs!$B$2:$B$500,MATCH('Beneficiaries (14)'!$B17,Logs!$A$2:$A$500,0)),"")</f>
        <v>Philani</v>
      </c>
      <c r="D17" s="166" t="str">
        <f>IFERROR(INDEX(Logs!$C$2:$C$500,MATCH('Beneficiaries (14)'!$B17,Logs!$A$2:$A$500,0)),"")</f>
        <v>Magude</v>
      </c>
      <c r="E17" s="167" t="str">
        <f>IFERROR(INDEX(Logs!$D$2:$D$500,MATCH('Beneficiaries (14)'!$B17,Logs!$A$2:$A$500,0)),"")</f>
        <v>9804015702083</v>
      </c>
      <c r="F17" s="168" t="s">
        <v>125</v>
      </c>
      <c r="G17" s="165" t="str">
        <f>TheGender(E17)</f>
        <v>M</v>
      </c>
      <c r="H17" s="165" t="s">
        <v>125</v>
      </c>
      <c r="I17" s="165" t="s">
        <v>126</v>
      </c>
      <c r="J17" s="165" t="str">
        <f>IFERROR(INDEX(Logs!$E$2:$E$500,MATCH('Beneficiaries (14)'!$B17,Logs!$A$2:$A$500,0)),"")</f>
        <v>01/09/2023</v>
      </c>
      <c r="K17" s="165" t="str">
        <f>IFERROR(INDEX(Logs!$F$2:$F$500,MATCH('Beneficiaries (14)'!$B17,Logs!$A$2:$A$500,0)),"")</f>
        <v>30/06/2024</v>
      </c>
      <c r="L17" s="165">
        <f>IFERROR(INDEX(Logs!$G$2:$G$500,MATCH('Beneficiaries (14)'!$B17,Logs!$A$2:$A$500,0)),0)</f>
        <v>10</v>
      </c>
      <c r="M17" s="165">
        <v>0</v>
      </c>
      <c r="N17" s="165">
        <f>L17+M17</f>
        <v>10</v>
      </c>
      <c r="O17" s="171">
        <f>IFERROR(INDEX(Logs!$H$2:$H$500,MATCH('Beneficiaries (14)'!$B17,Logs!$A$2:$A$500,0)),)</f>
        <v>204.16</v>
      </c>
      <c r="P17" s="172">
        <f>IFERROR(N17*O17,0)</f>
        <v>2041.6</v>
      </c>
      <c r="Q17" s="173"/>
      <c r="R17" s="11"/>
    </row>
    <row r="18">
      <c r="A18" s="144" t="str">
        <f>ID_Valid(E18)</f>
      </c>
      <c r="B18" s="165">
        <v>269</v>
      </c>
      <c r="C18" s="166" t="str">
        <f>IFERROR(INDEX(Logs!$B$2:$B$500,MATCH('Beneficiaries (14)'!$B18,Logs!$A$2:$A$500,0)),"")</f>
        <v>Apiwe</v>
      </c>
      <c r="D18" s="166" t="str">
        <f>IFERROR(INDEX(Logs!$C$2:$C$500,MATCH('Beneficiaries (14)'!$B18,Logs!$A$2:$A$500,0)),"")</f>
        <v>Ntlombe</v>
      </c>
      <c r="E18" s="167" t="str">
        <f>IFERROR(INDEX(Logs!$D$2:$D$500,MATCH('Beneficiaries (14)'!$B18,Logs!$A$2:$A$500,0)),"")</f>
        <v>8801050499089</v>
      </c>
      <c r="F18" s="168" t="s">
        <v>125</v>
      </c>
      <c r="G18" s="165" t="str">
        <f>TheGender(E18)</f>
        <v>F</v>
      </c>
      <c r="H18" s="165" t="s">
        <v>125</v>
      </c>
      <c r="I18" s="165" t="s">
        <v>126</v>
      </c>
      <c r="J18" s="165" t="str">
        <f>IFERROR(INDEX(Logs!$E$2:$E$500,MATCH('Beneficiaries (14)'!$B18,Logs!$A$2:$A$500,0)),"")</f>
        <v>01/09/2023</v>
      </c>
      <c r="K18" s="165" t="str">
        <f>IFERROR(INDEX(Logs!$F$2:$F$500,MATCH('Beneficiaries (14)'!$B18,Logs!$A$2:$A$500,0)),"")</f>
        <v>30/06/2024</v>
      </c>
      <c r="L18" s="165">
        <f>IFERROR(INDEX(Logs!$G$2:$G$500,MATCH('Beneficiaries (14)'!$B18,Logs!$A$2:$A$500,0)),0)</f>
        <v>10</v>
      </c>
      <c r="M18" s="165">
        <v>0</v>
      </c>
      <c r="N18" s="165">
        <f>L18+M18</f>
        <v>10</v>
      </c>
      <c r="O18" s="171">
        <f>IFERROR(INDEX(Logs!$H$2:$H$500,MATCH('Beneficiaries (14)'!$B18,Logs!$A$2:$A$500,0)),)</f>
        <v>204.16</v>
      </c>
      <c r="P18" s="172">
        <f>IFERROR(N18*O18,0)</f>
        <v>2041.6</v>
      </c>
      <c r="Q18" s="173"/>
      <c r="R18" s="11"/>
    </row>
    <row r="19">
      <c r="A19" s="144" t="str">
        <f>ID_Valid(E19)</f>
      </c>
      <c r="B19" s="165">
        <v>270</v>
      </c>
      <c r="C19" s="166" t="str">
        <f>IFERROR(INDEX(Logs!$B$2:$B$500,MATCH('Beneficiaries (14)'!$B19,Logs!$A$2:$A$500,0)),"")</f>
        <v>Hlengiwe</v>
      </c>
      <c r="D19" s="166" t="str">
        <f>IFERROR(INDEX(Logs!$C$2:$C$500,MATCH('Beneficiaries (14)'!$B19,Logs!$A$2:$A$500,0)),"")</f>
        <v>Nene</v>
      </c>
      <c r="E19" s="167" t="str">
        <f>IFERROR(INDEX(Logs!$D$2:$D$500,MATCH('Beneficiaries (14)'!$B19,Logs!$A$2:$A$500,0)),"")</f>
        <v>8105041090084</v>
      </c>
      <c r="F19" s="168" t="s">
        <v>125</v>
      </c>
      <c r="G19" s="165" t="str">
        <f>TheGender(E19)</f>
        <v>F</v>
      </c>
      <c r="H19" s="165" t="s">
        <v>125</v>
      </c>
      <c r="I19" s="165" t="s">
        <v>126</v>
      </c>
      <c r="J19" s="165" t="str">
        <f>IFERROR(INDEX(Logs!$E$2:$E$500,MATCH('Beneficiaries (14)'!$B19,Logs!$A$2:$A$500,0)),"")</f>
        <v>01/09/2023</v>
      </c>
      <c r="K19" s="165" t="str">
        <f>IFERROR(INDEX(Logs!$F$2:$F$500,MATCH('Beneficiaries (14)'!$B19,Logs!$A$2:$A$500,0)),"")</f>
        <v>30/06/2024</v>
      </c>
      <c r="L19" s="165">
        <f>IFERROR(INDEX(Logs!$G$2:$G$500,MATCH('Beneficiaries (14)'!$B19,Logs!$A$2:$A$500,0)),0)</f>
        <v>10</v>
      </c>
      <c r="M19" s="165">
        <v>0</v>
      </c>
      <c r="N19" s="165">
        <f>L19+M19</f>
        <v>10</v>
      </c>
      <c r="O19" s="171">
        <f>IFERROR(INDEX(Logs!$H$2:$H$500,MATCH('Beneficiaries (14)'!$B19,Logs!$A$2:$A$500,0)),)</f>
        <v>204.16</v>
      </c>
      <c r="P19" s="172">
        <f>IFERROR(N19*O19,0)</f>
        <v>2041.6</v>
      </c>
      <c r="Q19" s="173"/>
      <c r="R19" s="11"/>
    </row>
    <row r="20">
      <c r="A20" s="144" t="str">
        <f>ID_Valid(E20)</f>
      </c>
      <c r="B20" s="165">
        <v>271</v>
      </c>
      <c r="C20" s="166" t="str">
        <f>IFERROR(INDEX(Logs!$B$2:$B$500,MATCH('Beneficiaries (14)'!$B20,Logs!$A$2:$A$500,0)),"")</f>
        <v>Vuyani</v>
      </c>
      <c r="D20" s="166" t="str">
        <f>IFERROR(INDEX(Logs!$C$2:$C$500,MATCH('Beneficiaries (14)'!$B20,Logs!$A$2:$A$500,0)),"")</f>
        <v>Kalawe</v>
      </c>
      <c r="E20" s="167" t="str">
        <f>IFERROR(INDEX(Logs!$D$2:$D$500,MATCH('Beneficiaries (14)'!$B20,Logs!$A$2:$A$500,0)),"")</f>
        <v>8609065539082</v>
      </c>
      <c r="F20" s="168" t="s">
        <v>125</v>
      </c>
      <c r="G20" s="165" t="str">
        <f>TheGender(E20)</f>
        <v>M</v>
      </c>
      <c r="H20" s="165" t="s">
        <v>125</v>
      </c>
      <c r="I20" s="165" t="s">
        <v>126</v>
      </c>
      <c r="J20" s="165" t="str">
        <f>IFERROR(INDEX(Logs!$E$2:$E$500,MATCH('Beneficiaries (14)'!$B20,Logs!$A$2:$A$500,0)),"")</f>
        <v>01/09/2023</v>
      </c>
      <c r="K20" s="165" t="str">
        <f>IFERROR(INDEX(Logs!$F$2:$F$500,MATCH('Beneficiaries (14)'!$B20,Logs!$A$2:$A$500,0)),"")</f>
        <v>30/06/2024</v>
      </c>
      <c r="L20" s="165">
        <f>IFERROR(INDEX(Logs!$G$2:$G$500,MATCH('Beneficiaries (14)'!$B20,Logs!$A$2:$A$500,0)),0)</f>
        <v>10</v>
      </c>
      <c r="M20" s="165">
        <v>0</v>
      </c>
      <c r="N20" s="165">
        <f>L20+M20</f>
        <v>10</v>
      </c>
      <c r="O20" s="171">
        <f>IFERROR(INDEX(Logs!$H$2:$H$500,MATCH('Beneficiaries (14)'!$B20,Logs!$A$2:$A$500,0)),)</f>
        <v>204.16</v>
      </c>
      <c r="P20" s="172">
        <f>IFERROR(N20*O20,0)</f>
        <v>2041.6</v>
      </c>
      <c r="Q20" s="173"/>
      <c r="R20" s="11"/>
    </row>
    <row r="21">
      <c r="A21" s="144" t="str">
        <f>ID_Valid(E21)</f>
      </c>
      <c r="B21" s="165">
        <v>272</v>
      </c>
      <c r="C21" s="166" t="str">
        <f>IFERROR(INDEX(Logs!$B$2:$B$500,MATCH('Beneficiaries (14)'!$B21,Logs!$A$2:$A$500,0)),"")</f>
        <v>Isiphile</v>
      </c>
      <c r="D21" s="166" t="str">
        <f>IFERROR(INDEX(Logs!$C$2:$C$500,MATCH('Beneficiaries (14)'!$B21,Logs!$A$2:$A$500,0)),"")</f>
        <v>Sifumba</v>
      </c>
      <c r="E21" s="167" t="str">
        <f>IFERROR(INDEX(Logs!$D$2:$D$500,MATCH('Beneficiaries (14)'!$B21,Logs!$A$2:$A$500,0)),"")</f>
        <v>0301241070087</v>
      </c>
      <c r="F21" s="168" t="s">
        <v>125</v>
      </c>
      <c r="G21" s="165" t="str">
        <f>TheGender(E21)</f>
        <v>F</v>
      </c>
      <c r="H21" s="165" t="s">
        <v>125</v>
      </c>
      <c r="I21" s="165" t="s">
        <v>126</v>
      </c>
      <c r="J21" s="165" t="str">
        <f>IFERROR(INDEX(Logs!$E$2:$E$500,MATCH('Beneficiaries (14)'!$B21,Logs!$A$2:$A$500,0)),"")</f>
        <v>01/09/2023</v>
      </c>
      <c r="K21" s="165" t="str">
        <f>IFERROR(INDEX(Logs!$F$2:$F$500,MATCH('Beneficiaries (14)'!$B21,Logs!$A$2:$A$500,0)),"")</f>
        <v>30/06/2024</v>
      </c>
      <c r="L21" s="165">
        <f>IFERROR(INDEX(Logs!$G$2:$G$500,MATCH('Beneficiaries (14)'!$B21,Logs!$A$2:$A$500,0)),0)</f>
        <v>10</v>
      </c>
      <c r="M21" s="165">
        <v>0</v>
      </c>
      <c r="N21" s="165">
        <f>L21+M21</f>
        <v>10</v>
      </c>
      <c r="O21" s="171">
        <f>IFERROR(INDEX(Logs!$H$2:$H$500,MATCH('Beneficiaries (14)'!$B21,Logs!$A$2:$A$500,0)),)</f>
        <v>204.16</v>
      </c>
      <c r="P21" s="172">
        <f>IFERROR(N21*O21,0)</f>
        <v>2041.6</v>
      </c>
      <c r="Q21" s="173"/>
      <c r="R21" s="11"/>
    </row>
    <row r="22">
      <c r="A22" s="144" t="str">
        <f>ID_Valid(E22)</f>
      </c>
      <c r="B22" s="165">
        <v>273</v>
      </c>
      <c r="C22" s="174" t="str">
        <f>IFERROR(INDEX(Logs!$B$2:$B$500,MATCH('Beneficiaries (14)'!$B22,Logs!$A$2:$A$500,0)),"")</f>
        <v>Yanga</v>
      </c>
      <c r="D22" s="166" t="str">
        <f>IFERROR(INDEX(Logs!$C$2:$C$500,MATCH('Beneficiaries (14)'!$B22,Logs!$A$2:$A$500,0)),"")</f>
        <v>Nomxinyana</v>
      </c>
      <c r="E22" s="167" t="str">
        <f>IFERROR(INDEX(Logs!$D$2:$D$500,MATCH('Beneficiaries (14)'!$B22,Logs!$A$2:$A$500,0)),"")</f>
        <v>9207140995087</v>
      </c>
      <c r="F22" s="168" t="s">
        <v>125</v>
      </c>
      <c r="G22" s="165" t="str">
        <f>TheGender(E22)</f>
        <v>F</v>
      </c>
      <c r="H22" s="165" t="s">
        <v>125</v>
      </c>
      <c r="I22" s="165" t="s">
        <v>126</v>
      </c>
      <c r="J22" s="165" t="str">
        <f>IFERROR(INDEX(Logs!$E$2:$E$500,MATCH('Beneficiaries (14)'!$B22,Logs!$A$2:$A$500,0)),"")</f>
        <v>01/09/2023</v>
      </c>
      <c r="K22" s="165" t="str">
        <f>IFERROR(INDEX(Logs!$F$2:$F$500,MATCH('Beneficiaries (14)'!$B22,Logs!$A$2:$A$500,0)),"")</f>
        <v>30/06/2024</v>
      </c>
      <c r="L22" s="165">
        <f>IFERROR(INDEX(Logs!$G$2:$G$500,MATCH('Beneficiaries (14)'!$B22,Logs!$A$2:$A$500,0)),0)</f>
        <v>10</v>
      </c>
      <c r="M22" s="165">
        <v>0</v>
      </c>
      <c r="N22" s="165">
        <f>L22+M22</f>
        <v>10</v>
      </c>
      <c r="O22" s="171">
        <f>IFERROR(INDEX(Logs!$H$2:$H$500,MATCH('Beneficiaries (14)'!$B22,Logs!$A$2:$A$500,0)),)</f>
        <v>204.16</v>
      </c>
      <c r="P22" s="172">
        <f>IFERROR(N22*O22,0)</f>
        <v>2041.6</v>
      </c>
      <c r="Q22" s="173"/>
      <c r="R22" s="11"/>
    </row>
    <row r="23">
      <c r="A23" s="144" t="str">
        <f>ID_Valid(E23)</f>
      </c>
      <c r="B23" s="165">
        <v>274</v>
      </c>
      <c r="C23" s="174" t="str">
        <f>IFERROR(INDEX(Logs!$B$2:$B$500,MATCH('Beneficiaries (14)'!$B23,Logs!$A$2:$A$500,0)),"")</f>
      </c>
      <c r="D23" s="166" t="str">
        <f>IFERROR(INDEX(Logs!$C$2:$C$500,MATCH('Beneficiaries (14)'!$B23,Logs!$A$2:$A$500,0)),"")</f>
      </c>
      <c r="E23" s="167" t="str">
        <f>IFERROR(INDEX(Logs!$D$2:$D$500,MATCH('Beneficiaries (14)'!$B23,Logs!$A$2:$A$500,0)),"")</f>
      </c>
      <c r="F23" s="168" t="s">
        <v>125</v>
      </c>
      <c r="G23" s="165" t="str">
        <f>TheGender(E23)</f>
      </c>
      <c r="H23" s="165" t="s">
        <v>125</v>
      </c>
      <c r="I23" s="165" t="s">
        <v>126</v>
      </c>
      <c r="J23" s="165" t="str">
        <f>IFERROR(INDEX(Logs!$E$2:$E$500,MATCH('Beneficiaries (14)'!$B23,Logs!$A$2:$A$500,0)),"")</f>
      </c>
      <c r="K23" s="165" t="str">
        <f>IFERROR(INDEX(Logs!$F$2:$F$500,MATCH('Beneficiaries (14)'!$B23,Logs!$A$2:$A$500,0)),"")</f>
      </c>
      <c r="L23" s="165">
        <f>IFERROR(INDEX(Logs!$G$2:$G$500,MATCH('Beneficiaries (14)'!$B23,Logs!$A$2:$A$500,0)),0)</f>
        <v>0</v>
      </c>
      <c r="M23" s="165">
        <v>0</v>
      </c>
      <c r="N23" s="165">
        <f>L23+M23</f>
        <v>0</v>
      </c>
      <c r="O23" s="171">
        <f>IFERROR(INDEX(Logs!$H$2:$H$500,MATCH('Beneficiaries (14)'!$B23,Logs!$A$2:$A$500,0)),)</f>
        <v>0</v>
      </c>
      <c r="P23" s="172">
        <f>IFERROR(N23*O23,0)</f>
        <v>0</v>
      </c>
      <c r="Q23" s="173"/>
      <c r="R23" s="11"/>
    </row>
    <row r="24">
      <c r="A24" s="144" t="str">
        <f>ID_Valid(E24)</f>
      </c>
      <c r="B24" s="165">
        <v>275</v>
      </c>
      <c r="C24" s="174" t="str">
        <f>IFERROR(INDEX(Logs!$B$2:$B$500,MATCH('Beneficiaries (14)'!$B24,Logs!$A$2:$A$500,0)),"")</f>
      </c>
      <c r="D24" s="166" t="str">
        <f>IFERROR(INDEX(Logs!$C$2:$C$500,MATCH('Beneficiaries (14)'!$B24,Logs!$A$2:$A$500,0)),"")</f>
      </c>
      <c r="E24" s="167" t="str">
        <f>IFERROR(INDEX(Logs!$D$2:$D$500,MATCH('Beneficiaries (14)'!$B24,Logs!$A$2:$A$500,0)),"")</f>
      </c>
      <c r="F24" s="168" t="s">
        <v>125</v>
      </c>
      <c r="G24" s="165" t="str">
        <f>TheGender(E24)</f>
      </c>
      <c r="H24" s="165" t="s">
        <v>125</v>
      </c>
      <c r="I24" s="165" t="s">
        <v>126</v>
      </c>
      <c r="J24" s="165" t="str">
        <f>IFERROR(INDEX(Logs!$E$2:$E$500,MATCH('Beneficiaries (14)'!$B24,Logs!$A$2:$A$500,0)),"")</f>
      </c>
      <c r="K24" s="165" t="str">
        <f>IFERROR(INDEX(Logs!$F$2:$F$500,MATCH('Beneficiaries (14)'!$B24,Logs!$A$2:$A$500,0)),"")</f>
      </c>
      <c r="L24" s="165">
        <f>IFERROR(INDEX(Logs!$G$2:$G$500,MATCH('Beneficiaries (14)'!$B24,Logs!$A$2:$A$500,0)),0)</f>
        <v>0</v>
      </c>
      <c r="M24" s="165">
        <v>0</v>
      </c>
      <c r="N24" s="165">
        <f>L24+M24</f>
        <v>0</v>
      </c>
      <c r="O24" s="171">
        <f>IFERROR(INDEX(Logs!$H$2:$H$500,MATCH('Beneficiaries (14)'!$B24,Logs!$A$2:$A$500,0)),)</f>
        <v>0</v>
      </c>
      <c r="P24" s="172">
        <f>IFERROR(N24*O24,0)</f>
        <v>0</v>
      </c>
      <c r="Q24" s="173"/>
      <c r="R24" s="145" t="s"/>
    </row>
    <row r="25">
      <c r="A25" s="144" t="str">
        <f>ID_Valid(E25)</f>
      </c>
      <c r="B25" s="165">
        <v>276</v>
      </c>
      <c r="C25" s="170" t="str">
        <f>IFERROR(INDEX(Logs!$B$2:$B$500,MATCH('Beneficiaries (14)'!$B25,Logs!$A$2:$A$500,0)),"")</f>
      </c>
      <c r="D25" s="166" t="str">
        <f>IFERROR(INDEX(Logs!$C$2:$C$500,MATCH('Beneficiaries (14)'!$B25,Logs!$A$2:$A$500,0)),"")</f>
      </c>
      <c r="E25" s="167" t="str">
        <f>IFERROR(INDEX(Logs!$D$2:$D$500,MATCH('Beneficiaries (14)'!$B25,Logs!$A$2:$A$500,0)),"")</f>
      </c>
      <c r="F25" s="168" t="s">
        <v>125</v>
      </c>
      <c r="G25" s="165" t="str">
        <f>TheGender(E25)</f>
      </c>
      <c r="H25" s="165" t="s">
        <v>125</v>
      </c>
      <c r="I25" s="165" t="s">
        <v>126</v>
      </c>
      <c r="J25" s="165" t="str">
        <f>IFERROR(INDEX(Logs!$E$2:$E$500,MATCH('Beneficiaries (14)'!$B25,Logs!$A$2:$A$500,0)),"")</f>
      </c>
      <c r="K25" s="165" t="str">
        <f>IFERROR(INDEX(Logs!$F$2:$F$500,MATCH('Beneficiaries (14)'!$B25,Logs!$A$2:$A$500,0)),"")</f>
      </c>
      <c r="L25" s="165">
        <f>IFERROR(INDEX(Logs!$G$2:$G$500,MATCH('Beneficiaries (14)'!$B25,Logs!$A$2:$A$500,0)),0)</f>
        <v>0</v>
      </c>
      <c r="M25" s="165">
        <v>0</v>
      </c>
      <c r="N25" s="165">
        <f>L25+M25</f>
        <v>0</v>
      </c>
      <c r="O25" s="171">
        <f>IFERROR(INDEX(Logs!$H$2:$H$500,MATCH('Beneficiaries (14)'!$B25,Logs!$A$2:$A$500,0)),)</f>
        <v>0</v>
      </c>
      <c r="P25" s="172">
        <f>IFERROR(N25*O25,0)</f>
        <v>0</v>
      </c>
      <c r="Q25" s="173"/>
      <c r="R25" s="145" t="s"/>
    </row>
    <row r="26">
      <c r="A26" s="144" t="str">
        <f>ID_Valid(E26)</f>
      </c>
      <c r="B26" s="165">
        <v>277</v>
      </c>
      <c r="C26" s="170" t="str">
        <f>IFERROR(INDEX(Logs!$B$2:$B$500,MATCH('Beneficiaries (14)'!$B26,Logs!$A$2:$A$500,0)),"")</f>
      </c>
      <c r="D26" s="166" t="str">
        <f>IFERROR(INDEX(Logs!$C$2:$C$500,MATCH('Beneficiaries (14)'!$B26,Logs!$A$2:$A$500,0)),"")</f>
      </c>
      <c r="E26" s="167" t="str">
        <f>IFERROR(INDEX(Logs!$D$2:$D$500,MATCH('Beneficiaries (14)'!$B26,Logs!$A$2:$A$500,0)),"")</f>
      </c>
      <c r="F26" s="168" t="s">
        <v>125</v>
      </c>
      <c r="G26" s="165" t="str">
        <f>TheGender(E26)</f>
      </c>
      <c r="H26" s="165" t="s">
        <v>125</v>
      </c>
      <c r="I26" s="165" t="s">
        <v>126</v>
      </c>
      <c r="J26" s="165" t="str">
        <f>IFERROR(INDEX(Logs!$E$2:$E$500,MATCH('Beneficiaries (14)'!$B26,Logs!$A$2:$A$500,0)),"")</f>
      </c>
      <c r="K26" s="165" t="str">
        <f>IFERROR(INDEX(Logs!$F$2:$F$500,MATCH('Beneficiaries (14)'!$B26,Logs!$A$2:$A$500,0)),"")</f>
      </c>
      <c r="L26" s="165">
        <f>IFERROR(INDEX(Logs!$G$2:$G$500,MATCH('Beneficiaries (14)'!$B26,Logs!$A$2:$A$500,0)),0)</f>
        <v>0</v>
      </c>
      <c r="M26" s="165">
        <v>0</v>
      </c>
      <c r="N26" s="165">
        <f>L26+M26</f>
        <v>0</v>
      </c>
      <c r="O26" s="171">
        <f>IFERROR(INDEX(Logs!$H$2:$H$500,MATCH('Beneficiaries (14)'!$B26,Logs!$A$2:$A$500,0)),)</f>
        <v>0</v>
      </c>
      <c r="P26" s="172">
        <f>IFERROR(N26*O26,0)</f>
        <v>0</v>
      </c>
      <c r="Q26" s="173"/>
      <c r="R26" s="145" t="s"/>
    </row>
    <row r="27">
      <c r="A27" s="144" t="str">
        <f>ID_Valid(E27)</f>
      </c>
      <c r="B27" s="165">
        <v>278</v>
      </c>
      <c r="C27" s="170" t="str">
        <f>IFERROR(INDEX(Logs!$B$2:$B$500,MATCH('Beneficiaries (14)'!$B27,Logs!$A$2:$A$500,0)),"")</f>
      </c>
      <c r="D27" s="166" t="str">
        <f>IFERROR(INDEX(Logs!$C$2:$C$500,MATCH('Beneficiaries (14)'!$B27,Logs!$A$2:$A$500,0)),"")</f>
      </c>
      <c r="E27" s="167" t="str">
        <f>IFERROR(INDEX(Logs!$D$2:$D$500,MATCH('Beneficiaries (14)'!$B27,Logs!$A$2:$A$500,0)),"")</f>
      </c>
      <c r="F27" s="168" t="s">
        <v>125</v>
      </c>
      <c r="G27" s="165" t="str">
        <f>TheGender(E27)</f>
      </c>
      <c r="H27" s="165" t="s">
        <v>125</v>
      </c>
      <c r="I27" s="165" t="s">
        <v>126</v>
      </c>
      <c r="J27" s="165" t="str">
        <f>IFERROR(INDEX(Logs!$E$2:$E$500,MATCH('Beneficiaries (14)'!$B27,Logs!$A$2:$A$500,0)),"")</f>
      </c>
      <c r="K27" s="165" t="str">
        <f>IFERROR(INDEX(Logs!$F$2:$F$500,MATCH('Beneficiaries (14)'!$B27,Logs!$A$2:$A$500,0)),"")</f>
      </c>
      <c r="L27" s="165">
        <f>IFERROR(INDEX(Logs!$G$2:$G$500,MATCH('Beneficiaries (14)'!$B27,Logs!$A$2:$A$500,0)),0)</f>
        <v>0</v>
      </c>
      <c r="M27" s="165">
        <v>0</v>
      </c>
      <c r="N27" s="165">
        <f>L27+M27</f>
        <v>0</v>
      </c>
      <c r="O27" s="171">
        <f>IFERROR(INDEX(Logs!$H$2:$H$500,MATCH('Beneficiaries (14)'!$B27,Logs!$A$2:$A$500,0)),)</f>
        <v>0</v>
      </c>
      <c r="P27" s="172">
        <f>IFERROR(N27*O27,0)</f>
        <v>0</v>
      </c>
      <c r="Q27" s="173"/>
      <c r="R27" s="145" t="s"/>
    </row>
    <row r="28">
      <c r="A28" s="144" t="str">
        <f>ID_Valid(E28)</f>
      </c>
      <c r="B28" s="165">
        <v>279</v>
      </c>
      <c r="C28" s="170" t="str">
        <f>IFERROR(INDEX(Logs!$B$2:$B$500,MATCH('Beneficiaries (14)'!$B28,Logs!$A$2:$A$500,0)),"")</f>
      </c>
      <c r="D28" s="166" t="str">
        <f>IFERROR(INDEX(Logs!$C$2:$C$500,MATCH('Beneficiaries (14)'!$B28,Logs!$A$2:$A$500,0)),"")</f>
      </c>
      <c r="E28" s="167" t="str">
        <f>IFERROR(INDEX(Logs!$D$2:$D$500,MATCH('Beneficiaries (14)'!$B28,Logs!$A$2:$A$500,0)),"")</f>
      </c>
      <c r="F28" s="168" t="s">
        <v>125</v>
      </c>
      <c r="G28" s="165" t="str">
        <f>TheGender(E28)</f>
      </c>
      <c r="H28" s="165" t="s">
        <v>125</v>
      </c>
      <c r="I28" s="165" t="s">
        <v>126</v>
      </c>
      <c r="J28" s="165" t="str">
        <f>IFERROR(INDEX(Logs!$E$2:$E$500,MATCH('Beneficiaries (14)'!$B28,Logs!$A$2:$A$500,0)),"")</f>
      </c>
      <c r="K28" s="165" t="str">
        <f>IFERROR(INDEX(Logs!$F$2:$F$500,MATCH('Beneficiaries (14)'!$B28,Logs!$A$2:$A$500,0)),"")</f>
      </c>
      <c r="L28" s="165">
        <f>IFERROR(INDEX(Logs!$G$2:$G$500,MATCH('Beneficiaries (14)'!$B28,Logs!$A$2:$A$500,0)),0)</f>
        <v>0</v>
      </c>
      <c r="M28" s="165">
        <v>0</v>
      </c>
      <c r="N28" s="165">
        <f>L28+M28</f>
        <v>0</v>
      </c>
      <c r="O28" s="171">
        <f>IFERROR(INDEX(Logs!$H$2:$H$500,MATCH('Beneficiaries (14)'!$B28,Logs!$A$2:$A$500,0)),)</f>
        <v>0</v>
      </c>
      <c r="P28" s="172">
        <f>IFERROR(N28*O28,0)</f>
        <v>0</v>
      </c>
      <c r="Q28" s="173"/>
      <c r="R28" s="145" t="s"/>
    </row>
    <row r="29">
      <c r="A29" s="144" t="str">
        <f>ID_Valid(E29)</f>
      </c>
      <c r="B29" s="165">
        <v>280</v>
      </c>
      <c r="C29" s="170" t="str">
        <f>IFERROR(INDEX(Logs!$B$2:$B$500,MATCH('Beneficiaries (14)'!$B29,Logs!$A$2:$A$500,0)),"")</f>
      </c>
      <c r="D29" s="170" t="str">
        <f>IFERROR(INDEX(Logs!$C$2:$C$500,MATCH('Beneficiaries (14)'!$B29,Logs!$A$2:$A$500,0)),"")</f>
      </c>
      <c r="E29" s="167" t="str">
        <f>IFERROR(INDEX(Logs!$D$2:$D$500,MATCH('Beneficiaries (14)'!$B29,Logs!$A$2:$A$500,0)),"")</f>
      </c>
      <c r="F29" s="168" t="s">
        <v>125</v>
      </c>
      <c r="G29" s="165" t="str">
        <f>TheGender(E29)</f>
      </c>
      <c r="H29" s="165" t="s">
        <v>125</v>
      </c>
      <c r="I29" s="165" t="s">
        <v>126</v>
      </c>
      <c r="J29" s="165" t="str">
        <f>IFERROR(INDEX(Logs!$E$2:$E$500,MATCH('Beneficiaries (14)'!$B29,Logs!$A$2:$A$500,0)),"")</f>
      </c>
      <c r="K29" s="165" t="str">
        <f>IFERROR(INDEX(Logs!$F$2:$F$500,MATCH('Beneficiaries (14)'!$B29,Logs!$A$2:$A$500,0)),"")</f>
      </c>
      <c r="L29" s="165">
        <f>IFERROR(INDEX(Logs!$G$2:$G$500,MATCH('Beneficiaries (14)'!$B29,Logs!$A$2:$A$500,0)),0)</f>
        <v>0</v>
      </c>
      <c r="M29" s="165">
        <v>0</v>
      </c>
      <c r="N29" s="165">
        <f>L29+M29</f>
        <v>0</v>
      </c>
      <c r="O29" s="171">
        <f>IFERROR(INDEX(Logs!$H$2:$H$500,MATCH('Beneficiaries (14)'!$B29,Logs!$A$2:$A$500,0)),)</f>
        <v>0</v>
      </c>
      <c r="P29" s="172">
        <f>IFERROR(N29*O29,0)</f>
        <v>0</v>
      </c>
      <c r="Q29" s="173"/>
      <c r="R29" s="145" t="s"/>
    </row>
    <row r="30">
      <c r="A30" s="144" t="s"/>
      <c r="B30" s="175"/>
      <c r="C30" s="175"/>
      <c r="D30" s="175"/>
      <c r="E30" s="175"/>
      <c r="F30" s="175"/>
      <c r="G30" s="175"/>
      <c r="H30" s="175"/>
      <c r="I30" s="175"/>
      <c r="J30" s="175"/>
      <c r="K30" s="175"/>
      <c r="L30" s="176">
        <f>SUM(L10:L29)</f>
        <v>154</v>
      </c>
      <c r="M30" s="176">
        <f>SUM(M10:M29)</f>
        <v>0</v>
      </c>
      <c r="N30" s="176">
        <f>SUM(N10:N29)</f>
        <v>154</v>
      </c>
      <c r="O30" s="177">
        <f>SUM(O10:O29)</f>
        <v>2668</v>
      </c>
      <c r="P30" s="178">
        <f>SUM(P10:P29)</f>
        <v>31579.839999999989</v>
      </c>
      <c r="Q30" s="179"/>
      <c r="R30" s="145" t="s"/>
    </row>
    <row r="31" ht="27" customHeight="true">
      <c r="A31" s="144" t="s"/>
      <c r="B31" s="180" t="s">
        <v>127</v>
      </c>
      <c r="C31" s="180"/>
      <c r="D31" s="181" t="s">
        <v>128</v>
      </c>
      <c r="E31" s="153" t="str">
        <f>Project!$G$30</f>
        <v>Benjamin Milandou-Loubeka</v>
      </c>
      <c r="F31" s="153"/>
      <c r="G31" s="153"/>
      <c r="H31" s="153" t="s">
        <v>129</v>
      </c>
      <c r="I31" s="157"/>
      <c r="J31" s="157"/>
      <c r="K31" s="157"/>
      <c r="L31" s="157"/>
      <c r="M31" s="157"/>
      <c r="N31" s="157"/>
      <c r="O31" s="157"/>
      <c r="P31" s="157"/>
      <c r="Q31" s="14"/>
      <c r="R31" s="145" t="s"/>
    </row>
    <row r="32" ht="27" customHeight="true">
      <c r="A32" s="144" t="s"/>
      <c r="B32" s="180"/>
      <c r="C32" s="180"/>
      <c r="D32" s="181" t="s">
        <v>130</v>
      </c>
      <c r="E32" s="182">
        <f>Project!$AN$1</f>
        <v>45199</v>
      </c>
      <c r="F32" s="182"/>
      <c r="G32" s="182"/>
      <c r="H32" s="153"/>
      <c r="I32" s="157"/>
      <c r="J32" s="157"/>
      <c r="K32" s="157"/>
      <c r="L32" s="157"/>
      <c r="M32" s="157"/>
      <c r="N32" s="157"/>
      <c r="O32" s="157"/>
      <c r="P32" s="157"/>
      <c r="Q32" s="14"/>
      <c r="R32" s="145" t="s"/>
    </row>
    <row r="33" ht="14.25" customHeight="true">
      <c r="A33" s="144" t="s"/>
      <c r="B33" s="158"/>
      <c r="C33" s="158"/>
      <c r="D33" s="183"/>
      <c r="E33" s="14"/>
      <c r="F33" s="14"/>
      <c r="G33" s="14"/>
      <c r="H33" s="148"/>
      <c r="I33" s="14"/>
      <c r="J33" s="14"/>
      <c r="K33" s="14"/>
      <c r="L33" s="14"/>
      <c r="M33" s="14"/>
      <c r="N33" s="14"/>
      <c r="O33" s="14"/>
      <c r="P33" s="14"/>
      <c r="Q33" s="14"/>
    </row>
    <row r="34" ht="27" customHeight="true">
      <c r="A34" s="144" t="s"/>
      <c r="B34" s="180" t="s">
        <v>131</v>
      </c>
      <c r="C34" s="180"/>
      <c r="D34" s="181" t="s">
        <v>128</v>
      </c>
      <c r="E34" s="157"/>
      <c r="F34" s="157"/>
      <c r="G34" s="157"/>
      <c r="H34" s="153" t="s">
        <v>129</v>
      </c>
      <c r="I34" s="157"/>
      <c r="J34" s="157"/>
      <c r="K34" s="157"/>
      <c r="L34" s="157"/>
      <c r="M34" s="157"/>
      <c r="N34" s="157"/>
      <c r="O34" s="157"/>
      <c r="P34" s="157"/>
      <c r="Q34" s="14"/>
    </row>
    <row r="35" ht="27" customHeight="true">
      <c r="A35" s="144" t="s"/>
      <c r="B35" s="180"/>
      <c r="C35" s="180"/>
      <c r="D35" s="181" t="s">
        <v>130</v>
      </c>
      <c r="E35" s="157"/>
      <c r="F35" s="157"/>
      <c r="G35" s="157"/>
      <c r="H35" s="153"/>
      <c r="I35" s="157"/>
      <c r="J35" s="157"/>
      <c r="K35" s="157"/>
      <c r="L35" s="157"/>
      <c r="M35" s="157"/>
      <c r="N35" s="157"/>
      <c r="O35" s="157"/>
      <c r="P35" s="157"/>
      <c r="Q35" s="14"/>
    </row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>
      <c r="A74" s="144" t="s"/>
      <c r="B74" s="14"/>
    </row>
  </sheetData>
  <dataValidations count="1">
    <dataValidation allowBlank="true" showInputMessage="true" showErrorMessage="true" promptTitle="Month" type="" sqref="I6">
      <formula1/>
    </dataValidation>
  </dataValidations>
  <mergeCells count="14">
    <mergeCell ref="B3:P3"/>
    <mergeCell ref="B5:C6"/>
    <mergeCell ref="D5:E6"/>
    <mergeCell ref="K5:M5"/>
    <mergeCell ref="B31:C32"/>
    <mergeCell ref="E31:G31"/>
    <mergeCell ref="H31:H32"/>
    <mergeCell ref="I31:P32"/>
    <mergeCell ref="E32:G32"/>
    <mergeCell ref="B34:C35"/>
    <mergeCell ref="E34:G34"/>
    <mergeCell ref="H34:H35"/>
    <mergeCell ref="I34:P35"/>
    <mergeCell ref="E35:G35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16.xml><?xml version="1.0" encoding="utf-8"?>
<worksheet xmlns="http://schemas.openxmlformats.org/spreadsheetml/2006/main">
  <sheetPr filterMode="false">
    <pageSetUpPr fitToPage="false"/>
  </sheetPr>
  <dimension ref="A1:R74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85546875" defaultRowHeight="12.75"/>
  <cols>
    <col collapsed="false" hidden="false" max="1" min="1" style="144" width="20.7109375" customWidth="true"/>
    <col collapsed="false" hidden="false" max="2" min="2" style="1" width="4.42578125" customWidth="true"/>
    <col collapsed="false" hidden="false" max="5" min="3" style="1" width="24.42578125" customWidth="true"/>
    <col collapsed="false" hidden="false" max="5" min="3" style="1" width="24.42578125" customWidth="true"/>
    <col collapsed="false" hidden="false" max="5" min="3" style="1" width="24.42578125" customWidth="true"/>
    <col collapsed="false" hidden="false" max="6" min="6" style="1" width="10.140625" customWidth="true"/>
    <col collapsed="false" hidden="false" max="9" min="7" style="1" width="8.85546875" customWidth="true"/>
    <col collapsed="false" hidden="false" max="9" min="7" style="1" width="8.85546875" customWidth="true"/>
    <col collapsed="false" hidden="false" max="9" min="7" style="1" width="8.85546875" customWidth="true"/>
    <col collapsed="false" hidden="false" max="11" min="10" style="1" width="10.140625" customWidth="true"/>
    <col collapsed="false" hidden="false" max="11" min="10" style="1" width="10.14062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5" min="12" style="1" width="13.7109375" customWidth="true"/>
    <col collapsed="false" hidden="false" max="17" min="16" style="1" width="14.5703125" customWidth="true"/>
    <col collapsed="false" hidden="false" max="17" min="16" style="1" width="14.5703125" customWidth="true"/>
    <col collapsed="false" hidden="false" max="18" min="18" style="145" width="8.85546875" customWidth="true"/>
  </cols>
  <sheetData>
    <row r="1">
      <c r="A1" s="144" t="s"/>
      <c r="B1" s="146" t="s">
        <v>96</v>
      </c>
      <c r="C1" s="2"/>
      <c r="D1" s="2"/>
      <c r="E1" s="147" t="s">
        <v>2</v>
      </c>
      <c r="F1" s="1" t="s"/>
      <c r="G1" s="2"/>
      <c r="H1" s="2"/>
      <c r="I1" s="2"/>
      <c r="J1" s="1" t="s"/>
      <c r="K1" s="1" t="s"/>
      <c r="L1" s="1" t="s"/>
      <c r="M1" s="1" t="s"/>
      <c r="N1" s="1" t="s"/>
      <c r="O1" s="1" t="s"/>
      <c r="P1" s="1" t="s"/>
      <c r="Q1" s="1" t="s"/>
      <c r="R1" s="11">
        <f>IF(Beneficiaries!$P$30&gt;0,1,"")</f>
        <v>1</v>
      </c>
    </row>
    <row r="2">
      <c r="A2" s="144" t="s"/>
      <c r="B2" s="1" t="s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11">
        <f>IF('Beneficiaries (2)'!$P$30&gt;0,1,"")</f>
        <v>1</v>
      </c>
    </row>
    <row r="3">
      <c r="A3" s="144" t="s"/>
      <c r="B3" s="148" t="s">
        <v>97</v>
      </c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1">
        <f>IF('Beneficiaries (3)'!$P$30&gt;0,1,"")</f>
        <v>1</v>
      </c>
    </row>
    <row r="4">
      <c r="A4" s="144" t="s"/>
      <c r="B4" s="1" t="s"/>
      <c r="C4" s="146"/>
      <c r="D4" s="146"/>
      <c r="E4" s="146"/>
      <c r="F4" s="146"/>
      <c r="G4" s="146"/>
      <c r="H4" s="1" t="s"/>
      <c r="I4" s="1" t="s"/>
      <c r="J4" s="1" t="s"/>
      <c r="K4" s="1" t="s"/>
      <c r="L4" s="1" t="s"/>
      <c r="M4" s="1" t="s"/>
      <c r="N4" s="1" t="s"/>
      <c r="O4" s="1" t="s"/>
      <c r="P4" s="1" t="s"/>
      <c r="Q4" s="1" t="s"/>
      <c r="R4" s="11">
        <f>IF('Beneficiaries (4)'!$P$30&gt;0,1,"")</f>
        <v>1</v>
      </c>
    </row>
    <row r="5" ht="12.75" customHeight="true">
      <c r="A5" s="144" t="s"/>
      <c r="B5" s="149" t="s">
        <v>98</v>
      </c>
      <c r="C5" s="150"/>
      <c r="D5" s="151" t="str">
        <f>Project!$Z$25</f>
        <v>WSDS/24/111i</v>
      </c>
      <c r="E5" s="151"/>
      <c r="F5" s="152"/>
      <c r="G5" s="1" t="s"/>
      <c r="H5" s="153" t="s">
        <v>99</v>
      </c>
      <c r="I5" s="153" t="s">
        <v>100</v>
      </c>
      <c r="J5" s="146"/>
      <c r="K5" s="154" t="s">
        <v>101</v>
      </c>
      <c r="L5" s="154"/>
      <c r="M5" s="154"/>
      <c r="N5" s="39"/>
      <c r="O5" s="39"/>
      <c r="P5" s="146"/>
      <c r="Q5" s="146"/>
      <c r="R5" s="11">
        <f>IF('Beneficiaries (5)'!$P$30&gt;0,1,"")</f>
        <v>1</v>
      </c>
    </row>
    <row r="6">
      <c r="A6" s="144" t="s"/>
      <c r="B6" s="155"/>
      <c r="C6" s="156"/>
      <c r="D6" s="151"/>
      <c r="E6" s="151"/>
      <c r="F6" s="152"/>
      <c r="G6" s="1" t="s"/>
      <c r="H6" s="109" t="str">
        <f>TEXT(Project!$AN$1,"YYYY")</f>
        <v>2023</v>
      </c>
      <c r="I6" s="109" t="str">
        <f>TEXT(Project!$AN$1,"MMMM")</f>
        <v>September</v>
      </c>
      <c r="J6" s="7"/>
      <c r="K6" s="157">
        <v>1</v>
      </c>
      <c r="L6" s="154" t="s">
        <v>102</v>
      </c>
      <c r="M6" s="154">
        <f>IF(K6&gt;0,COUNT(R1:R20),"")</f>
        <v>14</v>
      </c>
      <c r="N6" s="39"/>
      <c r="O6" s="39"/>
      <c r="P6" s="14"/>
      <c r="Q6" s="14"/>
      <c r="R6" s="11">
        <f>IF('Beneficiaries (6)'!$P$30&gt;0,1,"")</f>
        <v>1</v>
      </c>
    </row>
    <row r="7">
      <c r="A7" s="144" t="s"/>
      <c r="B7" s="158"/>
      <c r="C7" s="158"/>
      <c r="D7" s="158"/>
      <c r="E7" s="14"/>
      <c r="F7" s="14"/>
      <c r="G7" s="1" t="s"/>
      <c r="H7" s="7"/>
      <c r="I7" s="7"/>
      <c r="J7" s="7"/>
      <c r="K7" s="14"/>
      <c r="L7" s="39"/>
      <c r="M7" s="39"/>
      <c r="N7" s="39"/>
      <c r="O7" s="39"/>
      <c r="P7" s="14"/>
      <c r="Q7" s="14"/>
      <c r="R7" s="11">
        <f>IF('Beneficiaries (7)'!$P$30&gt;0,1,"")</f>
        <v>1</v>
      </c>
    </row>
    <row r="8">
      <c r="A8" s="144" t="s"/>
      <c r="B8" s="159"/>
      <c r="C8" s="160" t="s">
        <v>103</v>
      </c>
      <c r="D8" s="160" t="s">
        <v>103</v>
      </c>
      <c r="E8" s="160" t="s">
        <v>103</v>
      </c>
      <c r="F8" s="160" t="s">
        <v>104</v>
      </c>
      <c r="G8" s="159"/>
      <c r="H8" s="159"/>
      <c r="I8" s="160" t="s">
        <v>105</v>
      </c>
      <c r="J8" s="159"/>
      <c r="K8" s="160" t="s">
        <v>106</v>
      </c>
      <c r="L8" s="160" t="s">
        <v>107</v>
      </c>
      <c r="M8" s="160" t="s">
        <v>108</v>
      </c>
      <c r="N8" s="160"/>
      <c r="O8" s="160" t="s">
        <v>109</v>
      </c>
      <c r="P8" s="160"/>
      <c r="Q8" s="161"/>
      <c r="R8" s="11">
        <f>IF('Beneficiaries (8)'!$P$30&gt;0,1,"")</f>
        <v>1</v>
      </c>
    </row>
    <row r="9">
      <c r="A9" s="144" t="s"/>
      <c r="B9" s="162" t="s">
        <v>110</v>
      </c>
      <c r="C9" s="162" t="s">
        <v>111</v>
      </c>
      <c r="D9" s="162" t="s">
        <v>112</v>
      </c>
      <c r="E9" s="162" t="s">
        <v>113</v>
      </c>
      <c r="F9" s="163" t="s">
        <v>114</v>
      </c>
      <c r="G9" s="163" t="s">
        <v>115</v>
      </c>
      <c r="H9" s="163" t="s">
        <v>116</v>
      </c>
      <c r="I9" s="163" t="s">
        <v>117</v>
      </c>
      <c r="J9" s="163" t="s">
        <v>118</v>
      </c>
      <c r="K9" s="163" t="s">
        <v>119</v>
      </c>
      <c r="L9" s="163" t="s">
        <v>120</v>
      </c>
      <c r="M9" s="163" t="s">
        <v>121</v>
      </c>
      <c r="N9" s="163" t="s">
        <v>122</v>
      </c>
      <c r="O9" s="163" t="s">
        <v>123</v>
      </c>
      <c r="P9" s="163" t="s">
        <v>124</v>
      </c>
      <c r="Q9" s="164"/>
      <c r="R9" s="11">
        <f>IF('Beneficiaries (9)'!$P$30&gt;0,1,"")</f>
        <v>1</v>
      </c>
    </row>
    <row r="10">
      <c r="A10" s="144" t="str">
        <f>ID_Valid(E10)</f>
      </c>
      <c r="B10" s="165">
        <v>281</v>
      </c>
      <c r="C10" s="166" t="str">
        <f>IFERROR(INDEX(Logs!$B$2:$B$500,MATCH('Beneficiaries (15)'!$B10,Logs!$A$2:$A$500,0)),"")</f>
      </c>
      <c r="D10" s="166" t="str">
        <f>IFERROR(INDEX(Logs!$C$2:$C$500,MATCH('Beneficiaries (15)'!$B10,Logs!$A$2:$A$500,0)),"")</f>
      </c>
      <c r="E10" s="167" t="str">
        <f>IFERROR(INDEX(Logs!$D$2:$D$500,MATCH('Beneficiaries (15)'!$B10,Logs!$A$2:$A$500,0)),"")</f>
      </c>
      <c r="F10" s="168" t="s">
        <v>125</v>
      </c>
      <c r="G10" s="165" t="str">
        <f>TheGender(E10)</f>
      </c>
      <c r="H10" s="165" t="s">
        <v>125</v>
      </c>
      <c r="I10" s="169" t="s">
        <v>126</v>
      </c>
      <c r="J10" s="170" t="str">
        <f>IFERROR(INDEX(Logs!$E$2:$E$500,MATCH('Beneficiaries (15)'!$B10,Logs!$A$2:$A$500,0)),"")</f>
      </c>
      <c r="K10" s="170" t="str">
        <f>IFERROR(INDEX(Logs!$F$2:$F$500,MATCH('Beneficiaries (15)'!$B10,Logs!$A$2:$A$500,0)),"")</f>
      </c>
      <c r="L10" s="165">
        <f>IFERROR(INDEX(Logs!$G$2:$G$500,MATCH('Beneficiaries (15)'!$B10,Logs!$A$2:$A$500,0)),0)</f>
        <v>0</v>
      </c>
      <c r="M10" s="165">
        <v>0</v>
      </c>
      <c r="N10" s="165">
        <f>M10+L10</f>
        <v>0</v>
      </c>
      <c r="O10" s="171">
        <f>IFERROR(INDEX(Logs!$H$2:$H$500,MATCH('Beneficiaries (15)'!$B10,Logs!$A$2:$A$500,0)),)</f>
        <v>0</v>
      </c>
      <c r="P10" s="172">
        <f>IFERROR(N10*O10,0)</f>
        <v>0</v>
      </c>
      <c r="Q10" s="173"/>
      <c r="R10" s="11">
        <f>IF('Beneficiaries (10)'!$P$30&gt;0,1,"")</f>
        <v>1</v>
      </c>
    </row>
    <row r="11">
      <c r="A11" s="144" t="str">
        <f>ID_Valid(E11)</f>
      </c>
      <c r="B11" s="165">
        <v>282</v>
      </c>
      <c r="C11" s="166" t="str">
        <f>IFERROR(INDEX(Logs!$B$2:$B$500,MATCH('Beneficiaries (15)'!$B11,Logs!$A$2:$A$500,0)),"")</f>
      </c>
      <c r="D11" s="166" t="str">
        <f>IFERROR(INDEX(Logs!$C$2:$C$500,MATCH('Beneficiaries (15)'!$B11,Logs!$A$2:$A$500,0)),"")</f>
      </c>
      <c r="E11" s="167" t="str">
        <f>IFERROR(INDEX(Logs!$D$2:$D$500,MATCH('Beneficiaries (15)'!$B11,Logs!$A$2:$A$500,0)),"")</f>
      </c>
      <c r="F11" s="168" t="s">
        <v>125</v>
      </c>
      <c r="G11" s="165" t="str">
        <f>TheGender(E11)</f>
      </c>
      <c r="H11" s="165" t="s">
        <v>125</v>
      </c>
      <c r="I11" s="165" t="s">
        <v>126</v>
      </c>
      <c r="J11" s="165" t="str">
        <f>IFERROR(INDEX(Logs!$E$2:$E$500,MATCH('Beneficiaries (15)'!$B11,Logs!$A$2:$A$500,0)),"")</f>
      </c>
      <c r="K11" s="165" t="str">
        <f>IFERROR(INDEX(Logs!$F$2:$F$500,MATCH('Beneficiaries (15)'!$B11,Logs!$A$2:$A$500,0)),"")</f>
      </c>
      <c r="L11" s="165">
        <f>IFERROR(INDEX(Logs!$G$2:$G$500,MATCH('Beneficiaries (15)'!$B11,Logs!$A$2:$A$500,0)),0)</f>
        <v>0</v>
      </c>
      <c r="M11" s="165">
        <v>0</v>
      </c>
      <c r="N11" s="165">
        <f>L11+M11</f>
        <v>0</v>
      </c>
      <c r="O11" s="171">
        <f>IFERROR(INDEX(Logs!$H$2:$H$500,MATCH('Beneficiaries (15)'!$B11,Logs!$A$2:$A$500,0)),)</f>
        <v>0</v>
      </c>
      <c r="P11" s="172">
        <f>IFERROR(N11*O11,0)</f>
        <v>0</v>
      </c>
      <c r="Q11" s="173"/>
      <c r="R11" s="11">
        <f>IF('Beneficiaries (11)'!$P$30&gt;0,1,"")</f>
        <v>1</v>
      </c>
    </row>
    <row r="12">
      <c r="A12" s="144" t="str">
        <f>ID_Valid(E12)</f>
      </c>
      <c r="B12" s="165">
        <v>283</v>
      </c>
      <c r="C12" s="166" t="str">
        <f>IFERROR(INDEX(Logs!$B$2:$B$500,MATCH('Beneficiaries (15)'!$B12,Logs!$A$2:$A$500,0)),"")</f>
      </c>
      <c r="D12" s="166" t="str">
        <f>IFERROR(INDEX(Logs!$C$2:$C$500,MATCH('Beneficiaries (15)'!$B12,Logs!$A$2:$A$500,0)),"")</f>
      </c>
      <c r="E12" s="167" t="str">
        <f>IFERROR(INDEX(Logs!$D$2:$D$500,MATCH('Beneficiaries (15)'!$B12,Logs!$A$2:$A$500,0)),"")</f>
      </c>
      <c r="F12" s="168" t="s">
        <v>125</v>
      </c>
      <c r="G12" s="165" t="str">
        <f>TheGender(E12)</f>
      </c>
      <c r="H12" s="165" t="s">
        <v>125</v>
      </c>
      <c r="I12" s="165" t="s">
        <v>126</v>
      </c>
      <c r="J12" s="165" t="str">
        <f>IFERROR(INDEX(Logs!$E$2:$E$500,MATCH('Beneficiaries (15)'!$B12,Logs!$A$2:$A$500,0)),"")</f>
      </c>
      <c r="K12" s="165" t="str">
        <f>IFERROR(INDEX(Logs!$F$2:$F$500,MATCH('Beneficiaries (15)'!$B12,Logs!$A$2:$A$500,0)),"")</f>
      </c>
      <c r="L12" s="165">
        <f>IFERROR(INDEX(Logs!$G$2:$G$500,MATCH('Beneficiaries (15)'!$B12,Logs!$A$2:$A$500,0)),0)</f>
        <v>0</v>
      </c>
      <c r="M12" s="165">
        <v>0</v>
      </c>
      <c r="N12" s="165">
        <f>L12+M12</f>
        <v>0</v>
      </c>
      <c r="O12" s="171">
        <f>IFERROR(INDEX(Logs!$H$2:$H$500,MATCH('Beneficiaries (15)'!$B12,Logs!$A$2:$A$500,0)),)</f>
        <v>0</v>
      </c>
      <c r="P12" s="172">
        <f>IFERROR(N12*O12,0)</f>
        <v>0</v>
      </c>
      <c r="Q12" s="173"/>
      <c r="R12" s="11">
        <f>IF('Beneficiaries (12)'!$P$30&gt;0,1,"")</f>
        <v>1</v>
      </c>
    </row>
    <row r="13">
      <c r="A13" s="144" t="str">
        <f>ID_Valid(E13)</f>
      </c>
      <c r="B13" s="165">
        <v>284</v>
      </c>
      <c r="C13" s="166" t="str">
        <f>IFERROR(INDEX(Logs!$B$2:$B$500,MATCH('Beneficiaries (15)'!$B13,Logs!$A$2:$A$500,0)),"")</f>
      </c>
      <c r="D13" s="166" t="str">
        <f>IFERROR(INDEX(Logs!$C$2:$C$500,MATCH('Beneficiaries (15)'!$B13,Logs!$A$2:$A$500,0)),"")</f>
      </c>
      <c r="E13" s="167" t="str">
        <f>IFERROR(INDEX(Logs!$D$2:$D$500,MATCH('Beneficiaries (15)'!$B13,Logs!$A$2:$A$500,0)),"")</f>
      </c>
      <c r="F13" s="168" t="s">
        <v>125</v>
      </c>
      <c r="G13" s="165" t="str">
        <f>TheGender(E13)</f>
      </c>
      <c r="H13" s="165" t="s">
        <v>125</v>
      </c>
      <c r="I13" s="165" t="s">
        <v>126</v>
      </c>
      <c r="J13" s="165" t="str">
        <f>IFERROR(INDEX(Logs!$E$2:$E$500,MATCH('Beneficiaries (15)'!$B13,Logs!$A$2:$A$500,0)),"")</f>
      </c>
      <c r="K13" s="165" t="str">
        <f>IFERROR(INDEX(Logs!$F$2:$F$500,MATCH('Beneficiaries (15)'!$B13,Logs!$A$2:$A$500,0)),"")</f>
      </c>
      <c r="L13" s="165">
        <f>IFERROR(INDEX(Logs!$G$2:$G$500,MATCH('Beneficiaries (15)'!$B13,Logs!$A$2:$A$500,0)),0)</f>
        <v>0</v>
      </c>
      <c r="M13" s="165">
        <v>0</v>
      </c>
      <c r="N13" s="165">
        <f>L13+M13</f>
        <v>0</v>
      </c>
      <c r="O13" s="171">
        <f>IFERROR(INDEX(Logs!$H$2:$H$500,MATCH('Beneficiaries (15)'!$B13,Logs!$A$2:$A$500,0)),)</f>
        <v>0</v>
      </c>
      <c r="P13" s="172">
        <f>IFERROR(N13*O13,0)</f>
        <v>0</v>
      </c>
      <c r="Q13" s="173"/>
      <c r="R13" s="11">
        <f>IF('Beneficiaries (13)'!$P$30&gt;0,1,"")</f>
        <v>1</v>
      </c>
    </row>
    <row r="14">
      <c r="A14" s="144" t="str">
        <f>ID_Valid(E14)</f>
      </c>
      <c r="B14" s="165">
        <v>285</v>
      </c>
      <c r="C14" s="166" t="str">
        <f>IFERROR(INDEX(Logs!$B$2:$B$500,MATCH('Beneficiaries (15)'!$B14,Logs!$A$2:$A$500,0)),"")</f>
      </c>
      <c r="D14" s="166" t="str">
        <f>IFERROR(INDEX(Logs!$C$2:$C$500,MATCH('Beneficiaries (15)'!$B14,Logs!$A$2:$A$500,0)),"")</f>
      </c>
      <c r="E14" s="167" t="str">
        <f>IFERROR(INDEX(Logs!$D$2:$D$500,MATCH('Beneficiaries (15)'!$B14,Logs!$A$2:$A$500,0)),"")</f>
      </c>
      <c r="F14" s="168" t="s">
        <v>125</v>
      </c>
      <c r="G14" s="165" t="str">
        <f>TheGender(E14)</f>
      </c>
      <c r="H14" s="165" t="s">
        <v>125</v>
      </c>
      <c r="I14" s="165" t="s">
        <v>126</v>
      </c>
      <c r="J14" s="165" t="str">
        <f>IFERROR(INDEX(Logs!$E$2:$E$500,MATCH('Beneficiaries (15)'!$B14,Logs!$A$2:$A$500,0)),"")</f>
      </c>
      <c r="K14" s="165" t="str">
        <f>IFERROR(INDEX(Logs!$F$2:$F$500,MATCH('Beneficiaries (15)'!$B14,Logs!$A$2:$A$500,0)),"")</f>
      </c>
      <c r="L14" s="165">
        <f>IFERROR(INDEX(Logs!$G$2:$G$500,MATCH('Beneficiaries (15)'!$B14,Logs!$A$2:$A$500,0)),0)</f>
        <v>0</v>
      </c>
      <c r="M14" s="165">
        <v>0</v>
      </c>
      <c r="N14" s="165">
        <f>L14+M14</f>
        <v>0</v>
      </c>
      <c r="O14" s="171">
        <f>IFERROR(INDEX(Logs!$H$2:$H$500,MATCH('Beneficiaries (15)'!$B14,Logs!$A$2:$A$500,0)),)</f>
        <v>0</v>
      </c>
      <c r="P14" s="172">
        <f>IFERROR(N14*O14,0)</f>
        <v>0</v>
      </c>
      <c r="Q14" s="173"/>
      <c r="R14" s="11">
        <f>IF('Beneficiaries (14)'!$P$30&gt;0,1,"")</f>
        <v>1</v>
      </c>
    </row>
    <row r="15">
      <c r="A15" s="144" t="str">
        <f>ID_Valid(E15)</f>
      </c>
      <c r="B15" s="165">
        <v>286</v>
      </c>
      <c r="C15" s="166" t="str">
        <f>IFERROR(INDEX(Logs!$B$2:$B$500,MATCH('Beneficiaries (15)'!$B15,Logs!$A$2:$A$500,0)),"")</f>
      </c>
      <c r="D15" s="166" t="str">
        <f>IFERROR(INDEX(Logs!$C$2:$C$500,MATCH('Beneficiaries (15)'!$B15,Logs!$A$2:$A$500,0)),"")</f>
      </c>
      <c r="E15" s="167" t="str">
        <f>IFERROR(INDEX(Logs!$D$2:$D$500,MATCH('Beneficiaries (15)'!$B15,Logs!$A$2:$A$500,0)),"")</f>
      </c>
      <c r="F15" s="168" t="s">
        <v>125</v>
      </c>
      <c r="G15" s="165" t="str">
        <f>TheGender(E15)</f>
      </c>
      <c r="H15" s="165" t="s">
        <v>125</v>
      </c>
      <c r="I15" s="165" t="s">
        <v>126</v>
      </c>
      <c r="J15" s="165" t="str">
        <f>IFERROR(INDEX(Logs!$E$2:$E$500,MATCH('Beneficiaries (15)'!$B15,Logs!$A$2:$A$500,0)),"")</f>
      </c>
      <c r="K15" s="165" t="str">
        <f>IFERROR(INDEX(Logs!$F$2:$F$500,MATCH('Beneficiaries (15)'!$B15,Logs!$A$2:$A$500,0)),"")</f>
      </c>
      <c r="L15" s="165">
        <f>IFERROR(INDEX(Logs!$G$2:$G$500,MATCH('Beneficiaries (15)'!$B15,Logs!$A$2:$A$500,0)),0)</f>
        <v>0</v>
      </c>
      <c r="M15" s="165">
        <v>0</v>
      </c>
      <c r="N15" s="165">
        <f>L15+M15</f>
        <v>0</v>
      </c>
      <c r="O15" s="171">
        <f>IFERROR(INDEX(Logs!$H$2:$H$500,MATCH('Beneficiaries (15)'!$B15,Logs!$A$2:$A$500,0)),)</f>
        <v>0</v>
      </c>
      <c r="P15" s="172">
        <f>IFERROR(N15*O15,0)</f>
        <v>0</v>
      </c>
      <c r="Q15" s="173"/>
      <c r="R15" s="11" t="str">
        <f>IF('Beneficiaries (15)'!$P$30&gt;0,1,"")</f>
      </c>
    </row>
    <row r="16">
      <c r="A16" s="144" t="str">
        <f>ID_Valid(E16)</f>
      </c>
      <c r="B16" s="165">
        <v>287</v>
      </c>
      <c r="C16" s="166" t="str">
        <f>IFERROR(INDEX(Logs!$B$2:$B$500,MATCH('Beneficiaries (15)'!$B16,Logs!$A$2:$A$500,0)),"")</f>
      </c>
      <c r="D16" s="166" t="str">
        <f>IFERROR(INDEX(Logs!$C$2:$C$500,MATCH('Beneficiaries (15)'!$B16,Logs!$A$2:$A$500,0)),"")</f>
      </c>
      <c r="E16" s="167" t="str">
        <f>IFERROR(INDEX(Logs!$D$2:$D$500,MATCH('Beneficiaries (15)'!$B16,Logs!$A$2:$A$500,0)),"")</f>
      </c>
      <c r="F16" s="168" t="s">
        <v>125</v>
      </c>
      <c r="G16" s="165" t="str">
        <f>TheGender(E16)</f>
      </c>
      <c r="H16" s="165" t="s">
        <v>125</v>
      </c>
      <c r="I16" s="165" t="s">
        <v>126</v>
      </c>
      <c r="J16" s="165" t="str">
        <f>IFERROR(INDEX(Logs!$E$2:$E$500,MATCH('Beneficiaries (15)'!$B16,Logs!$A$2:$A$500,0)),"")</f>
      </c>
      <c r="K16" s="165" t="str">
        <f>IFERROR(INDEX(Logs!$F$2:$F$500,MATCH('Beneficiaries (15)'!$B16,Logs!$A$2:$A$500,0)),"")</f>
      </c>
      <c r="L16" s="165">
        <f>IFERROR(INDEX(Logs!$G$2:$G$500,MATCH('Beneficiaries (15)'!$B16,Logs!$A$2:$A$500,0)),0)</f>
        <v>0</v>
      </c>
      <c r="M16" s="165">
        <v>0</v>
      </c>
      <c r="N16" s="165">
        <f>L16+M16</f>
        <v>0</v>
      </c>
      <c r="O16" s="171">
        <f>IFERROR(INDEX(Logs!$H$2:$H$500,MATCH('Beneficiaries (15)'!$B16,Logs!$A$2:$A$500,0)),)</f>
        <v>0</v>
      </c>
      <c r="P16" s="172">
        <f>IFERROR(N16*O16,0)</f>
        <v>0</v>
      </c>
      <c r="Q16" s="173"/>
      <c r="R16" s="11"/>
    </row>
    <row r="17">
      <c r="A17" s="144" t="str">
        <f>ID_Valid(E17)</f>
      </c>
      <c r="B17" s="165">
        <v>288</v>
      </c>
      <c r="C17" s="166" t="str">
        <f>IFERROR(INDEX(Logs!$B$2:$B$500,MATCH('Beneficiaries (15)'!$B17,Logs!$A$2:$A$500,0)),"")</f>
      </c>
      <c r="D17" s="166" t="str">
        <f>IFERROR(INDEX(Logs!$C$2:$C$500,MATCH('Beneficiaries (15)'!$B17,Logs!$A$2:$A$500,0)),"")</f>
      </c>
      <c r="E17" s="167" t="str">
        <f>IFERROR(INDEX(Logs!$D$2:$D$500,MATCH('Beneficiaries (15)'!$B17,Logs!$A$2:$A$500,0)),"")</f>
      </c>
      <c r="F17" s="168" t="s">
        <v>125</v>
      </c>
      <c r="G17" s="165" t="str">
        <f>TheGender(E17)</f>
      </c>
      <c r="H17" s="165" t="s">
        <v>125</v>
      </c>
      <c r="I17" s="165" t="s">
        <v>126</v>
      </c>
      <c r="J17" s="165" t="str">
        <f>IFERROR(INDEX(Logs!$E$2:$E$500,MATCH('Beneficiaries (15)'!$B17,Logs!$A$2:$A$500,0)),"")</f>
      </c>
      <c r="K17" s="165" t="str">
        <f>IFERROR(INDEX(Logs!$F$2:$F$500,MATCH('Beneficiaries (15)'!$B17,Logs!$A$2:$A$500,0)),"")</f>
      </c>
      <c r="L17" s="165">
        <f>IFERROR(INDEX(Logs!$G$2:$G$500,MATCH('Beneficiaries (15)'!$B17,Logs!$A$2:$A$500,0)),0)</f>
        <v>0</v>
      </c>
      <c r="M17" s="165">
        <v>0</v>
      </c>
      <c r="N17" s="165">
        <f>L17+M17</f>
        <v>0</v>
      </c>
      <c r="O17" s="171">
        <f>IFERROR(INDEX(Logs!$H$2:$H$500,MATCH('Beneficiaries (15)'!$B17,Logs!$A$2:$A$500,0)),)</f>
        <v>0</v>
      </c>
      <c r="P17" s="172">
        <f>IFERROR(N17*O17,0)</f>
        <v>0</v>
      </c>
      <c r="Q17" s="173"/>
      <c r="R17" s="11"/>
    </row>
    <row r="18">
      <c r="A18" s="144" t="str">
        <f>ID_Valid(E18)</f>
      </c>
      <c r="B18" s="165">
        <v>289</v>
      </c>
      <c r="C18" s="166" t="str">
        <f>IFERROR(INDEX(Logs!$B$2:$B$500,MATCH('Beneficiaries (15)'!$B18,Logs!$A$2:$A$500,0)),"")</f>
      </c>
      <c r="D18" s="166" t="str">
        <f>IFERROR(INDEX(Logs!$C$2:$C$500,MATCH('Beneficiaries (15)'!$B18,Logs!$A$2:$A$500,0)),"")</f>
      </c>
      <c r="E18" s="167" t="str">
        <f>IFERROR(INDEX(Logs!$D$2:$D$500,MATCH('Beneficiaries (15)'!$B18,Logs!$A$2:$A$500,0)),"")</f>
      </c>
      <c r="F18" s="168" t="s">
        <v>125</v>
      </c>
      <c r="G18" s="165" t="str">
        <f>TheGender(E18)</f>
      </c>
      <c r="H18" s="165" t="s">
        <v>125</v>
      </c>
      <c r="I18" s="165" t="s">
        <v>126</v>
      </c>
      <c r="J18" s="165" t="str">
        <f>IFERROR(INDEX(Logs!$E$2:$E$500,MATCH('Beneficiaries (15)'!$B18,Logs!$A$2:$A$500,0)),"")</f>
      </c>
      <c r="K18" s="165" t="str">
        <f>IFERROR(INDEX(Logs!$F$2:$F$500,MATCH('Beneficiaries (15)'!$B18,Logs!$A$2:$A$500,0)),"")</f>
      </c>
      <c r="L18" s="165">
        <f>IFERROR(INDEX(Logs!$G$2:$G$500,MATCH('Beneficiaries (15)'!$B18,Logs!$A$2:$A$500,0)),0)</f>
        <v>0</v>
      </c>
      <c r="M18" s="165">
        <v>0</v>
      </c>
      <c r="N18" s="165">
        <f>L18+M18</f>
        <v>0</v>
      </c>
      <c r="O18" s="171">
        <f>IFERROR(INDEX(Logs!$H$2:$H$500,MATCH('Beneficiaries (15)'!$B18,Logs!$A$2:$A$500,0)),)</f>
        <v>0</v>
      </c>
      <c r="P18" s="172">
        <f>IFERROR(N18*O18,0)</f>
        <v>0</v>
      </c>
      <c r="Q18" s="173"/>
      <c r="R18" s="11"/>
    </row>
    <row r="19">
      <c r="A19" s="144" t="str">
        <f>ID_Valid(E19)</f>
      </c>
      <c r="B19" s="165">
        <v>290</v>
      </c>
      <c r="C19" s="166" t="str">
        <f>IFERROR(INDEX(Logs!$B$2:$B$500,MATCH('Beneficiaries (15)'!$B19,Logs!$A$2:$A$500,0)),"")</f>
      </c>
      <c r="D19" s="166" t="str">
        <f>IFERROR(INDEX(Logs!$C$2:$C$500,MATCH('Beneficiaries (15)'!$B19,Logs!$A$2:$A$500,0)),"")</f>
      </c>
      <c r="E19" s="167" t="str">
        <f>IFERROR(INDEX(Logs!$D$2:$D$500,MATCH('Beneficiaries (15)'!$B19,Logs!$A$2:$A$500,0)),"")</f>
      </c>
      <c r="F19" s="168" t="s">
        <v>125</v>
      </c>
      <c r="G19" s="165" t="str">
        <f>TheGender(E19)</f>
      </c>
      <c r="H19" s="165" t="s">
        <v>125</v>
      </c>
      <c r="I19" s="165" t="s">
        <v>126</v>
      </c>
      <c r="J19" s="165" t="str">
        <f>IFERROR(INDEX(Logs!$E$2:$E$500,MATCH('Beneficiaries (15)'!$B19,Logs!$A$2:$A$500,0)),"")</f>
      </c>
      <c r="K19" s="165" t="str">
        <f>IFERROR(INDEX(Logs!$F$2:$F$500,MATCH('Beneficiaries (15)'!$B19,Logs!$A$2:$A$500,0)),"")</f>
      </c>
      <c r="L19" s="165">
        <f>IFERROR(INDEX(Logs!$G$2:$G$500,MATCH('Beneficiaries (15)'!$B19,Logs!$A$2:$A$500,0)),0)</f>
        <v>0</v>
      </c>
      <c r="M19" s="165">
        <v>0</v>
      </c>
      <c r="N19" s="165">
        <f>L19+M19</f>
        <v>0</v>
      </c>
      <c r="O19" s="171">
        <f>IFERROR(INDEX(Logs!$H$2:$H$500,MATCH('Beneficiaries (15)'!$B19,Logs!$A$2:$A$500,0)),)</f>
        <v>0</v>
      </c>
      <c r="P19" s="172">
        <f>IFERROR(N19*O19,0)</f>
        <v>0</v>
      </c>
      <c r="Q19" s="173"/>
      <c r="R19" s="145" t="s"/>
    </row>
    <row r="20">
      <c r="A20" s="144" t="str">
        <f>ID_Valid(E20)</f>
      </c>
      <c r="B20" s="165">
        <v>291</v>
      </c>
      <c r="C20" s="166" t="str">
        <f>IFERROR(INDEX(Logs!$B$2:$B$500,MATCH('Beneficiaries (15)'!$B20,Logs!$A$2:$A$500,0)),"")</f>
      </c>
      <c r="D20" s="166" t="str">
        <f>IFERROR(INDEX(Logs!$C$2:$C$500,MATCH('Beneficiaries (15)'!$B20,Logs!$A$2:$A$500,0)),"")</f>
      </c>
      <c r="E20" s="167" t="str">
        <f>IFERROR(INDEX(Logs!$D$2:$D$500,MATCH('Beneficiaries (15)'!$B20,Logs!$A$2:$A$500,0)),"")</f>
      </c>
      <c r="F20" s="168" t="s">
        <v>125</v>
      </c>
      <c r="G20" s="165" t="str">
        <f>TheGender(E20)</f>
      </c>
      <c r="H20" s="165" t="s">
        <v>125</v>
      </c>
      <c r="I20" s="165" t="s">
        <v>126</v>
      </c>
      <c r="J20" s="165" t="str">
        <f>IFERROR(INDEX(Logs!$E$2:$E$500,MATCH('Beneficiaries (15)'!$B20,Logs!$A$2:$A$500,0)),"")</f>
      </c>
      <c r="K20" s="165" t="str">
        <f>IFERROR(INDEX(Logs!$F$2:$F$500,MATCH('Beneficiaries (15)'!$B20,Logs!$A$2:$A$500,0)),"")</f>
      </c>
      <c r="L20" s="165">
        <f>IFERROR(INDEX(Logs!$G$2:$G$500,MATCH('Beneficiaries (15)'!$B20,Logs!$A$2:$A$500,0)),0)</f>
        <v>0</v>
      </c>
      <c r="M20" s="165">
        <v>0</v>
      </c>
      <c r="N20" s="165">
        <f>L20+M20</f>
        <v>0</v>
      </c>
      <c r="O20" s="171">
        <f>IFERROR(INDEX(Logs!$H$2:$H$500,MATCH('Beneficiaries (15)'!$B20,Logs!$A$2:$A$500,0)),)</f>
        <v>0</v>
      </c>
      <c r="P20" s="172">
        <f>IFERROR(N20*O20,0)</f>
        <v>0</v>
      </c>
      <c r="Q20" s="173"/>
      <c r="R20" s="145" t="s"/>
    </row>
    <row r="21">
      <c r="A21" s="144" t="str">
        <f>ID_Valid(E21)</f>
      </c>
      <c r="B21" s="165">
        <v>292</v>
      </c>
      <c r="C21" s="166" t="str">
        <f>IFERROR(INDEX(Logs!$B$2:$B$500,MATCH('Beneficiaries (15)'!$B21,Logs!$A$2:$A$500,0)),"")</f>
      </c>
      <c r="D21" s="166" t="str">
        <f>IFERROR(INDEX(Logs!$C$2:$C$500,MATCH('Beneficiaries (15)'!$B21,Logs!$A$2:$A$500,0)),"")</f>
      </c>
      <c r="E21" s="167" t="str">
        <f>IFERROR(INDEX(Logs!$D$2:$D$500,MATCH('Beneficiaries (15)'!$B21,Logs!$A$2:$A$500,0)),"")</f>
      </c>
      <c r="F21" s="168" t="s">
        <v>125</v>
      </c>
      <c r="G21" s="165" t="str">
        <f>TheGender(E21)</f>
      </c>
      <c r="H21" s="165" t="s">
        <v>125</v>
      </c>
      <c r="I21" s="165" t="s">
        <v>126</v>
      </c>
      <c r="J21" s="165" t="str">
        <f>IFERROR(INDEX(Logs!$E$2:$E$500,MATCH('Beneficiaries (15)'!$B21,Logs!$A$2:$A$500,0)),"")</f>
      </c>
      <c r="K21" s="165" t="str">
        <f>IFERROR(INDEX(Logs!$F$2:$F$500,MATCH('Beneficiaries (15)'!$B21,Logs!$A$2:$A$500,0)),"")</f>
      </c>
      <c r="L21" s="165">
        <f>IFERROR(INDEX(Logs!$G$2:$G$500,MATCH('Beneficiaries (15)'!$B21,Logs!$A$2:$A$500,0)),0)</f>
        <v>0</v>
      </c>
      <c r="M21" s="165">
        <v>0</v>
      </c>
      <c r="N21" s="165">
        <f>L21+M21</f>
        <v>0</v>
      </c>
      <c r="O21" s="171">
        <f>IFERROR(INDEX(Logs!$H$2:$H$500,MATCH('Beneficiaries (15)'!$B21,Logs!$A$2:$A$500,0)),)</f>
        <v>0</v>
      </c>
      <c r="P21" s="172">
        <f>IFERROR(N21*O21,0)</f>
        <v>0</v>
      </c>
      <c r="Q21" s="173"/>
      <c r="R21" s="145" t="s"/>
    </row>
    <row r="22">
      <c r="A22" s="144" t="str">
        <f>ID_Valid(E22)</f>
      </c>
      <c r="B22" s="165">
        <v>293</v>
      </c>
      <c r="C22" s="174" t="str">
        <f>IFERROR(INDEX(Logs!$B$2:$B$500,MATCH('Beneficiaries (15)'!$B22,Logs!$A$2:$A$500,0)),"")</f>
      </c>
      <c r="D22" s="166" t="str">
        <f>IFERROR(INDEX(Logs!$C$2:$C$500,MATCH('Beneficiaries (15)'!$B22,Logs!$A$2:$A$500,0)),"")</f>
      </c>
      <c r="E22" s="167" t="str">
        <f>IFERROR(INDEX(Logs!$D$2:$D$500,MATCH('Beneficiaries (15)'!$B22,Logs!$A$2:$A$500,0)),"")</f>
      </c>
      <c r="F22" s="168" t="s">
        <v>125</v>
      </c>
      <c r="G22" s="165" t="str">
        <f>TheGender(E22)</f>
      </c>
      <c r="H22" s="165" t="s">
        <v>125</v>
      </c>
      <c r="I22" s="165" t="s">
        <v>126</v>
      </c>
      <c r="J22" s="165" t="str">
        <f>IFERROR(INDEX(Logs!$E$2:$E$500,MATCH('Beneficiaries (15)'!$B22,Logs!$A$2:$A$500,0)),"")</f>
      </c>
      <c r="K22" s="165" t="str">
        <f>IFERROR(INDEX(Logs!$F$2:$F$500,MATCH('Beneficiaries (15)'!$B22,Logs!$A$2:$A$500,0)),"")</f>
      </c>
      <c r="L22" s="165">
        <f>IFERROR(INDEX(Logs!$G$2:$G$500,MATCH('Beneficiaries (15)'!$B22,Logs!$A$2:$A$500,0)),0)</f>
        <v>0</v>
      </c>
      <c r="M22" s="165">
        <v>0</v>
      </c>
      <c r="N22" s="165">
        <f>L22+M22</f>
        <v>0</v>
      </c>
      <c r="O22" s="171">
        <f>IFERROR(INDEX(Logs!$H$2:$H$500,MATCH('Beneficiaries (15)'!$B22,Logs!$A$2:$A$500,0)),)</f>
        <v>0</v>
      </c>
      <c r="P22" s="172">
        <f>IFERROR(N22*O22,0)</f>
        <v>0</v>
      </c>
      <c r="Q22" s="173"/>
      <c r="R22" s="145" t="s"/>
    </row>
    <row r="23">
      <c r="A23" s="144" t="str">
        <f>ID_Valid(E23)</f>
      </c>
      <c r="B23" s="165">
        <v>294</v>
      </c>
      <c r="C23" s="174" t="str">
        <f>IFERROR(INDEX(Logs!$B$2:$B$500,MATCH('Beneficiaries (15)'!$B23,Logs!$A$2:$A$500,0)),"")</f>
      </c>
      <c r="D23" s="166" t="str">
        <f>IFERROR(INDEX(Logs!$C$2:$C$500,MATCH('Beneficiaries (15)'!$B23,Logs!$A$2:$A$500,0)),"")</f>
      </c>
      <c r="E23" s="167" t="str">
        <f>IFERROR(INDEX(Logs!$D$2:$D$500,MATCH('Beneficiaries (15)'!$B23,Logs!$A$2:$A$500,0)),"")</f>
      </c>
      <c r="F23" s="168" t="s">
        <v>125</v>
      </c>
      <c r="G23" s="165" t="str">
        <f>TheGender(E23)</f>
      </c>
      <c r="H23" s="165" t="s">
        <v>125</v>
      </c>
      <c r="I23" s="165" t="s">
        <v>126</v>
      </c>
      <c r="J23" s="165" t="str">
        <f>IFERROR(INDEX(Logs!$E$2:$E$500,MATCH('Beneficiaries (15)'!$B23,Logs!$A$2:$A$500,0)),"")</f>
      </c>
      <c r="K23" s="165" t="str">
        <f>IFERROR(INDEX(Logs!$F$2:$F$500,MATCH('Beneficiaries (15)'!$B23,Logs!$A$2:$A$500,0)),"")</f>
      </c>
      <c r="L23" s="165">
        <f>IFERROR(INDEX(Logs!$G$2:$G$500,MATCH('Beneficiaries (15)'!$B23,Logs!$A$2:$A$500,0)),0)</f>
        <v>0</v>
      </c>
      <c r="M23" s="165">
        <v>0</v>
      </c>
      <c r="N23" s="165">
        <f>L23+M23</f>
        <v>0</v>
      </c>
      <c r="O23" s="171">
        <f>IFERROR(INDEX(Logs!$H$2:$H$500,MATCH('Beneficiaries (15)'!$B23,Logs!$A$2:$A$500,0)),)</f>
        <v>0</v>
      </c>
      <c r="P23" s="172">
        <f>IFERROR(N23*O23,0)</f>
        <v>0</v>
      </c>
      <c r="Q23" s="173"/>
      <c r="R23" s="145" t="s"/>
    </row>
    <row r="24">
      <c r="A24" s="144" t="str">
        <f>ID_Valid(E24)</f>
      </c>
      <c r="B24" s="165">
        <v>295</v>
      </c>
      <c r="C24" s="174" t="str">
        <f>IFERROR(INDEX(Logs!$B$2:$B$500,MATCH('Beneficiaries (15)'!$B24,Logs!$A$2:$A$500,0)),"")</f>
      </c>
      <c r="D24" s="166" t="str">
        <f>IFERROR(INDEX(Logs!$C$2:$C$500,MATCH('Beneficiaries (15)'!$B24,Logs!$A$2:$A$500,0)),"")</f>
      </c>
      <c r="E24" s="167" t="str">
        <f>IFERROR(INDEX(Logs!$D$2:$D$500,MATCH('Beneficiaries (15)'!$B24,Logs!$A$2:$A$500,0)),"")</f>
      </c>
      <c r="F24" s="168" t="s">
        <v>125</v>
      </c>
      <c r="G24" s="165" t="str">
        <f>TheGender(E24)</f>
      </c>
      <c r="H24" s="165" t="s">
        <v>125</v>
      </c>
      <c r="I24" s="165" t="s">
        <v>126</v>
      </c>
      <c r="J24" s="165" t="str">
        <f>IFERROR(INDEX(Logs!$E$2:$E$500,MATCH('Beneficiaries (15)'!$B24,Logs!$A$2:$A$500,0)),"")</f>
      </c>
      <c r="K24" s="165" t="str">
        <f>IFERROR(INDEX(Logs!$F$2:$F$500,MATCH('Beneficiaries (15)'!$B24,Logs!$A$2:$A$500,0)),"")</f>
      </c>
      <c r="L24" s="165">
        <f>IFERROR(INDEX(Logs!$G$2:$G$500,MATCH('Beneficiaries (15)'!$B24,Logs!$A$2:$A$500,0)),0)</f>
        <v>0</v>
      </c>
      <c r="M24" s="165">
        <v>0</v>
      </c>
      <c r="N24" s="165">
        <f>L24+M24</f>
        <v>0</v>
      </c>
      <c r="O24" s="171">
        <f>IFERROR(INDEX(Logs!$H$2:$H$500,MATCH('Beneficiaries (15)'!$B24,Logs!$A$2:$A$500,0)),)</f>
        <v>0</v>
      </c>
      <c r="P24" s="172">
        <f>IFERROR(N24*O24,0)</f>
        <v>0</v>
      </c>
      <c r="Q24" s="173"/>
      <c r="R24" s="145" t="s"/>
    </row>
    <row r="25">
      <c r="A25" s="144" t="str">
        <f>ID_Valid(E25)</f>
      </c>
      <c r="B25" s="165">
        <v>296</v>
      </c>
      <c r="C25" s="170" t="str">
        <f>IFERROR(INDEX(Logs!$B$2:$B$500,MATCH('Beneficiaries (15)'!$B25,Logs!$A$2:$A$500,0)),"")</f>
      </c>
      <c r="D25" s="166" t="str">
        <f>IFERROR(INDEX(Logs!$C$2:$C$500,MATCH('Beneficiaries (15)'!$B25,Logs!$A$2:$A$500,0)),"")</f>
      </c>
      <c r="E25" s="167" t="str">
        <f>IFERROR(INDEX(Logs!$D$2:$D$500,MATCH('Beneficiaries (15)'!$B25,Logs!$A$2:$A$500,0)),"")</f>
      </c>
      <c r="F25" s="168" t="s">
        <v>125</v>
      </c>
      <c r="G25" s="165" t="str">
        <f>TheGender(E25)</f>
      </c>
      <c r="H25" s="165" t="s">
        <v>125</v>
      </c>
      <c r="I25" s="165" t="s">
        <v>126</v>
      </c>
      <c r="J25" s="165" t="str">
        <f>IFERROR(INDEX(Logs!$E$2:$E$500,MATCH('Beneficiaries (15)'!$B25,Logs!$A$2:$A$500,0)),"")</f>
      </c>
      <c r="K25" s="165" t="str">
        <f>IFERROR(INDEX(Logs!$F$2:$F$500,MATCH('Beneficiaries (15)'!$B25,Logs!$A$2:$A$500,0)),"")</f>
      </c>
      <c r="L25" s="165">
        <f>IFERROR(INDEX(Logs!$G$2:$G$500,MATCH('Beneficiaries (15)'!$B25,Logs!$A$2:$A$500,0)),0)</f>
        <v>0</v>
      </c>
      <c r="M25" s="165">
        <v>0</v>
      </c>
      <c r="N25" s="165">
        <f>L25+M25</f>
        <v>0</v>
      </c>
      <c r="O25" s="171">
        <f>IFERROR(INDEX(Logs!$H$2:$H$500,MATCH('Beneficiaries (15)'!$B25,Logs!$A$2:$A$500,0)),)</f>
        <v>0</v>
      </c>
      <c r="P25" s="172">
        <f>IFERROR(N25*O25,0)</f>
        <v>0</v>
      </c>
      <c r="Q25" s="173"/>
      <c r="R25" s="145" t="s"/>
    </row>
    <row r="26">
      <c r="A26" s="144" t="str">
        <f>ID_Valid(E26)</f>
      </c>
      <c r="B26" s="165">
        <v>297</v>
      </c>
      <c r="C26" s="170" t="str">
        <f>IFERROR(INDEX(Logs!$B$2:$B$500,MATCH('Beneficiaries (15)'!$B26,Logs!$A$2:$A$500,0)),"")</f>
      </c>
      <c r="D26" s="166" t="str">
        <f>IFERROR(INDEX(Logs!$C$2:$C$500,MATCH('Beneficiaries (15)'!$B26,Logs!$A$2:$A$500,0)),"")</f>
      </c>
      <c r="E26" s="167" t="str">
        <f>IFERROR(INDEX(Logs!$D$2:$D$500,MATCH('Beneficiaries (15)'!$B26,Logs!$A$2:$A$500,0)),"")</f>
      </c>
      <c r="F26" s="168" t="s">
        <v>125</v>
      </c>
      <c r="G26" s="165" t="str">
        <f>TheGender(E26)</f>
      </c>
      <c r="H26" s="165" t="s">
        <v>125</v>
      </c>
      <c r="I26" s="165" t="s">
        <v>126</v>
      </c>
      <c r="J26" s="165" t="str">
        <f>IFERROR(INDEX(Logs!$E$2:$E$500,MATCH('Beneficiaries (15)'!$B26,Logs!$A$2:$A$500,0)),"")</f>
      </c>
      <c r="K26" s="165" t="str">
        <f>IFERROR(INDEX(Logs!$F$2:$F$500,MATCH('Beneficiaries (15)'!$B26,Logs!$A$2:$A$500,0)),"")</f>
      </c>
      <c r="L26" s="165">
        <f>IFERROR(INDEX(Logs!$G$2:$G$500,MATCH('Beneficiaries (15)'!$B26,Logs!$A$2:$A$500,0)),0)</f>
        <v>0</v>
      </c>
      <c r="M26" s="165">
        <v>0</v>
      </c>
      <c r="N26" s="165">
        <f>L26+M26</f>
        <v>0</v>
      </c>
      <c r="O26" s="171">
        <f>IFERROR(INDEX(Logs!$H$2:$H$500,MATCH('Beneficiaries (15)'!$B26,Logs!$A$2:$A$500,0)),)</f>
        <v>0</v>
      </c>
      <c r="P26" s="172">
        <f>IFERROR(N26*O26,0)</f>
        <v>0</v>
      </c>
      <c r="Q26" s="173"/>
      <c r="R26" s="145" t="s"/>
    </row>
    <row r="27">
      <c r="A27" s="144" t="str">
        <f>ID_Valid(E27)</f>
      </c>
      <c r="B27" s="165">
        <v>298</v>
      </c>
      <c r="C27" s="170" t="str">
        <f>IFERROR(INDEX(Logs!$B$2:$B$500,MATCH('Beneficiaries (15)'!$B27,Logs!$A$2:$A$500,0)),"")</f>
      </c>
      <c r="D27" s="166" t="str">
        <f>IFERROR(INDEX(Logs!$C$2:$C$500,MATCH('Beneficiaries (15)'!$B27,Logs!$A$2:$A$500,0)),"")</f>
      </c>
      <c r="E27" s="167" t="str">
        <f>IFERROR(INDEX(Logs!$D$2:$D$500,MATCH('Beneficiaries (15)'!$B27,Logs!$A$2:$A$500,0)),"")</f>
      </c>
      <c r="F27" s="168" t="s">
        <v>125</v>
      </c>
      <c r="G27" s="165" t="str">
        <f>TheGender(E27)</f>
      </c>
      <c r="H27" s="165" t="s">
        <v>125</v>
      </c>
      <c r="I27" s="165" t="s">
        <v>126</v>
      </c>
      <c r="J27" s="165" t="str">
        <f>IFERROR(INDEX(Logs!$E$2:$E$500,MATCH('Beneficiaries (15)'!$B27,Logs!$A$2:$A$500,0)),"")</f>
      </c>
      <c r="K27" s="165" t="str">
        <f>IFERROR(INDEX(Logs!$F$2:$F$500,MATCH('Beneficiaries (15)'!$B27,Logs!$A$2:$A$500,0)),"")</f>
      </c>
      <c r="L27" s="165">
        <f>IFERROR(INDEX(Logs!$G$2:$G$500,MATCH('Beneficiaries (15)'!$B27,Logs!$A$2:$A$500,0)),0)</f>
        <v>0</v>
      </c>
      <c r="M27" s="165">
        <v>0</v>
      </c>
      <c r="N27" s="165">
        <f>L27+M27</f>
        <v>0</v>
      </c>
      <c r="O27" s="171">
        <f>IFERROR(INDEX(Logs!$H$2:$H$500,MATCH('Beneficiaries (15)'!$B27,Logs!$A$2:$A$500,0)),)</f>
        <v>0</v>
      </c>
      <c r="P27" s="172">
        <f>IFERROR(N27*O27,0)</f>
        <v>0</v>
      </c>
      <c r="Q27" s="173"/>
      <c r="R27" s="145" t="s"/>
    </row>
    <row r="28">
      <c r="A28" s="144" t="str">
        <f>ID_Valid(E28)</f>
      </c>
      <c r="B28" s="165">
        <v>299</v>
      </c>
      <c r="C28" s="170" t="str">
        <f>IFERROR(INDEX(Logs!$B$2:$B$500,MATCH('Beneficiaries (15)'!$B28,Logs!$A$2:$A$500,0)),"")</f>
      </c>
      <c r="D28" s="166" t="str">
        <f>IFERROR(INDEX(Logs!$C$2:$C$500,MATCH('Beneficiaries (15)'!$B28,Logs!$A$2:$A$500,0)),"")</f>
      </c>
      <c r="E28" s="167" t="str">
        <f>IFERROR(INDEX(Logs!$D$2:$D$500,MATCH('Beneficiaries (15)'!$B28,Logs!$A$2:$A$500,0)),"")</f>
      </c>
      <c r="F28" s="168" t="s">
        <v>125</v>
      </c>
      <c r="G28" s="165" t="str">
        <f>TheGender(E28)</f>
      </c>
      <c r="H28" s="165" t="s">
        <v>125</v>
      </c>
      <c r="I28" s="165" t="s">
        <v>126</v>
      </c>
      <c r="J28" s="165" t="str">
        <f>IFERROR(INDEX(Logs!$E$2:$E$500,MATCH('Beneficiaries (15)'!$B28,Logs!$A$2:$A$500,0)),"")</f>
      </c>
      <c r="K28" s="165" t="str">
        <f>IFERROR(INDEX(Logs!$F$2:$F$500,MATCH('Beneficiaries (15)'!$B28,Logs!$A$2:$A$500,0)),"")</f>
      </c>
      <c r="L28" s="165">
        <f>IFERROR(INDEX(Logs!$G$2:$G$500,MATCH('Beneficiaries (15)'!$B28,Logs!$A$2:$A$500,0)),0)</f>
        <v>0</v>
      </c>
      <c r="M28" s="165">
        <v>0</v>
      </c>
      <c r="N28" s="165">
        <f>L28+M28</f>
        <v>0</v>
      </c>
      <c r="O28" s="171">
        <f>IFERROR(INDEX(Logs!$H$2:$H$500,MATCH('Beneficiaries (15)'!$B28,Logs!$A$2:$A$500,0)),)</f>
        <v>0</v>
      </c>
      <c r="P28" s="172">
        <f>IFERROR(N28*O28,0)</f>
        <v>0</v>
      </c>
      <c r="Q28" s="173"/>
      <c r="R28" s="145" t="s"/>
    </row>
    <row r="29">
      <c r="A29" s="144" t="str">
        <f>ID_Valid(E29)</f>
      </c>
      <c r="B29" s="165">
        <v>300</v>
      </c>
      <c r="C29" s="170" t="str">
        <f>IFERROR(INDEX(Logs!$B$2:$B$500,MATCH('Beneficiaries (15)'!$B29,Logs!$A$2:$A$500,0)),"")</f>
      </c>
      <c r="D29" s="170" t="str">
        <f>IFERROR(INDEX(Logs!$C$2:$C$500,MATCH('Beneficiaries (15)'!$B29,Logs!$A$2:$A$500,0)),"")</f>
      </c>
      <c r="E29" s="167" t="str">
        <f>IFERROR(INDEX(Logs!$D$2:$D$500,MATCH('Beneficiaries (15)'!$B29,Logs!$A$2:$A$500,0)),"")</f>
      </c>
      <c r="F29" s="168" t="s">
        <v>125</v>
      </c>
      <c r="G29" s="165" t="str">
        <f>TheGender(E29)</f>
      </c>
      <c r="H29" s="165" t="s">
        <v>125</v>
      </c>
      <c r="I29" s="165" t="s">
        <v>126</v>
      </c>
      <c r="J29" s="165" t="str">
        <f>IFERROR(INDEX(Logs!$E$2:$E$500,MATCH('Beneficiaries (15)'!$B29,Logs!$A$2:$A$500,0)),"")</f>
      </c>
      <c r="K29" s="165" t="str">
        <f>IFERROR(INDEX(Logs!$F$2:$F$500,MATCH('Beneficiaries (15)'!$B29,Logs!$A$2:$A$500,0)),"")</f>
      </c>
      <c r="L29" s="165">
        <f>IFERROR(INDEX(Logs!$G$2:$G$500,MATCH('Beneficiaries (15)'!$B29,Logs!$A$2:$A$500,0)),0)</f>
        <v>0</v>
      </c>
      <c r="M29" s="165">
        <v>0</v>
      </c>
      <c r="N29" s="165">
        <f>L29+M29</f>
        <v>0</v>
      </c>
      <c r="O29" s="171">
        <f>IFERROR(INDEX(Logs!$H$2:$H$500,MATCH('Beneficiaries (15)'!$B29,Logs!$A$2:$A$500,0)),)</f>
        <v>0</v>
      </c>
      <c r="P29" s="172">
        <f>IFERROR(N29*O29,0)</f>
        <v>0</v>
      </c>
      <c r="Q29" s="173"/>
      <c r="R29" s="145" t="s"/>
    </row>
    <row r="30">
      <c r="A30" s="144" t="s"/>
      <c r="B30" s="175"/>
      <c r="C30" s="175"/>
      <c r="D30" s="175"/>
      <c r="E30" s="175"/>
      <c r="F30" s="175"/>
      <c r="G30" s="175"/>
      <c r="H30" s="175"/>
      <c r="I30" s="175"/>
      <c r="J30" s="175"/>
      <c r="K30" s="175"/>
      <c r="L30" s="176">
        <f>SUM(L10:L29)</f>
        <v>0</v>
      </c>
      <c r="M30" s="176">
        <f>SUM(M10:M29)</f>
        <v>0</v>
      </c>
      <c r="N30" s="176">
        <f>SUM(N10:N29)</f>
        <v>0</v>
      </c>
      <c r="O30" s="177">
        <f>SUM(O10:O29)</f>
        <v>0</v>
      </c>
      <c r="P30" s="178">
        <f>SUM(P10:P29)</f>
        <v>0</v>
      </c>
      <c r="Q30" s="179"/>
      <c r="R30" s="145" t="s"/>
    </row>
    <row r="31" ht="27" customHeight="true">
      <c r="A31" s="144" t="s"/>
      <c r="B31" s="180" t="s">
        <v>127</v>
      </c>
      <c r="C31" s="180"/>
      <c r="D31" s="181" t="s">
        <v>128</v>
      </c>
      <c r="E31" s="153" t="str">
        <f>Project!$G$30</f>
        <v>Benjamin Milandou-Loubeka</v>
      </c>
      <c r="F31" s="153"/>
      <c r="G31" s="153"/>
      <c r="H31" s="153" t="s">
        <v>129</v>
      </c>
      <c r="I31" s="157"/>
      <c r="J31" s="157"/>
      <c r="K31" s="157"/>
      <c r="L31" s="157"/>
      <c r="M31" s="157"/>
      <c r="N31" s="157"/>
      <c r="O31" s="157"/>
      <c r="P31" s="157"/>
      <c r="Q31" s="14"/>
      <c r="R31" s="145" t="s"/>
    </row>
    <row r="32" ht="27" customHeight="true">
      <c r="A32" s="144" t="s"/>
      <c r="B32" s="180"/>
      <c r="C32" s="180"/>
      <c r="D32" s="181" t="s">
        <v>130</v>
      </c>
      <c r="E32" s="182">
        <f>Project!$AN$1</f>
        <v>45199</v>
      </c>
      <c r="F32" s="182"/>
      <c r="G32" s="182"/>
      <c r="H32" s="153"/>
      <c r="I32" s="157"/>
      <c r="J32" s="157"/>
      <c r="K32" s="157"/>
      <c r="L32" s="157"/>
      <c r="M32" s="157"/>
      <c r="N32" s="157"/>
      <c r="O32" s="157"/>
      <c r="P32" s="157"/>
      <c r="Q32" s="14"/>
      <c r="R32" s="145" t="s"/>
    </row>
    <row r="33" ht="14.25" customHeight="true">
      <c r="A33" s="144" t="s"/>
      <c r="B33" s="158"/>
      <c r="C33" s="158"/>
      <c r="D33" s="183"/>
      <c r="E33" s="14"/>
      <c r="F33" s="14"/>
      <c r="G33" s="14"/>
      <c r="H33" s="148"/>
      <c r="I33" s="14"/>
      <c r="J33" s="14"/>
      <c r="K33" s="14"/>
      <c r="L33" s="14"/>
      <c r="M33" s="14"/>
      <c r="N33" s="14"/>
      <c r="O33" s="14"/>
      <c r="P33" s="14"/>
      <c r="Q33" s="14"/>
    </row>
    <row r="34" ht="27" customHeight="true">
      <c r="A34" s="144" t="s"/>
      <c r="B34" s="180" t="s">
        <v>131</v>
      </c>
      <c r="C34" s="180"/>
      <c r="D34" s="181" t="s">
        <v>128</v>
      </c>
      <c r="E34" s="157"/>
      <c r="F34" s="157"/>
      <c r="G34" s="157"/>
      <c r="H34" s="153" t="s">
        <v>129</v>
      </c>
      <c r="I34" s="157"/>
      <c r="J34" s="157"/>
      <c r="K34" s="157"/>
      <c r="L34" s="157"/>
      <c r="M34" s="157"/>
      <c r="N34" s="157"/>
      <c r="O34" s="157"/>
      <c r="P34" s="157"/>
      <c r="Q34" s="14"/>
    </row>
    <row r="35" ht="27" customHeight="true">
      <c r="A35" s="144" t="s"/>
      <c r="B35" s="180"/>
      <c r="C35" s="180"/>
      <c r="D35" s="181" t="s">
        <v>130</v>
      </c>
      <c r="E35" s="157"/>
      <c r="F35" s="157"/>
      <c r="G35" s="157"/>
      <c r="H35" s="153"/>
      <c r="I35" s="157"/>
      <c r="J35" s="157"/>
      <c r="K35" s="157"/>
      <c r="L35" s="157"/>
      <c r="M35" s="157"/>
      <c r="N35" s="157"/>
      <c r="O35" s="157"/>
      <c r="P35" s="157"/>
      <c r="Q35" s="14"/>
    </row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>
      <c r="A74" s="144" t="s"/>
      <c r="B74" s="14"/>
    </row>
  </sheetData>
  <dataValidations count="1">
    <dataValidation allowBlank="true" showInputMessage="true" showErrorMessage="true" promptTitle="Month" type="" sqref="I6">
      <formula1/>
    </dataValidation>
  </dataValidations>
  <mergeCells count="14">
    <mergeCell ref="B3:P3"/>
    <mergeCell ref="B5:C6"/>
    <mergeCell ref="D5:E6"/>
    <mergeCell ref="K5:M5"/>
    <mergeCell ref="B31:C32"/>
    <mergeCell ref="E31:G31"/>
    <mergeCell ref="H31:H32"/>
    <mergeCell ref="I31:P32"/>
    <mergeCell ref="E32:G32"/>
    <mergeCell ref="B34:C35"/>
    <mergeCell ref="E34:G34"/>
    <mergeCell ref="H34:H35"/>
    <mergeCell ref="I34:P35"/>
    <mergeCell ref="E35:G35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17.xml><?xml version="1.0" encoding="utf-8"?>
<worksheet xmlns="http://schemas.openxmlformats.org/spreadsheetml/2006/main">
  <sheetPr filterMode="false">
    <pageSetUpPr fitToPage="false"/>
  </sheetPr>
  <dimension ref="A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75"/>
  <cols>
    <col collapsed="false" hidden="false" max="1" min="1" style="1" width="5.7109375" customWidth="true"/>
    <col collapsed="false" hidden="false" max="2" min="2" style="1" width="14.140625" customWidth="true"/>
    <col collapsed="false" hidden="false" max="3" min="3" style="1" width="16.5703125" customWidth="true"/>
    <col collapsed="false" hidden="false" max="4" min="4" style="1" width="12.85546875" customWidth="true"/>
    <col collapsed="false" hidden="false" max="5" min="5" style="1" width="18.5703125" customWidth="true"/>
    <col collapsed="false" hidden="false" max="6" min="6" style="1" width="17.7109375" customWidth="true"/>
    <col collapsed="false" hidden="false" max="7" min="7" style="1" width="15.140625" customWidth="true"/>
    <col collapsed="false" hidden="false" max="8" min="8" style="1" width="15" customWidth="true"/>
    <col collapsed="false" hidden="false" max="9" min="9" style="1" width="22.42578125" customWidth="true"/>
    <col collapsed="false" hidden="false" max="10" min="10" style="1" width="18" customWidth="true"/>
  </cols>
  <sheetData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Go XLSX</Application>
</Properties>
</file>

<file path=docProps/core.xml><?xml version="1.0" encoding="utf-8"?>
<cp:coreProperties xmlns:cp="http://schemas.openxmlformats.org/package/2006/metadata/core-properties" xmlns:dc="http://purl.org/dc/elements/1.1/" xmlns:dcmitype="http://purl.org/dc/dcmitype/" xmlns:dcterms="http://purl.org/dc/terms/" xmlns:xsi="http://www.w3.org/2001/XMLSchema-instance"/>
</file>